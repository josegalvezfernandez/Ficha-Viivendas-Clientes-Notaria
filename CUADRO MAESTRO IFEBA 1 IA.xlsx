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9410" windowHeight="20985" tabRatio="483" firstSheet="0" activeTab="1" autoFilterDateGrouping="1"/>
  </bookViews>
  <sheets>
    <sheet name="SITUACION COMERCIAL" sheetId="1" state="visible" r:id="rId1"/>
    <sheet name="MEJORAS" sheetId="2" state="visible" r:id="rId2"/>
    <sheet name="TOTAL OPERACION" sheetId="3" state="visible" r:id="rId3"/>
    <sheet name="FACTURACION" sheetId="4" state="hidden" r:id="rId4"/>
  </sheets>
  <definedNames>
    <definedName name="_xlnm._FilterDatabase" localSheetId="0" hidden="1">'SITUACION COMERCIAL'!$A$11:$AK$77</definedName>
    <definedName name="_xlnm.Print_Area" localSheetId="0">'SITUACION COMERCIAL'!$A$9:$I$77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\ %"/>
    <numFmt numFmtId="165" formatCode="0.00\ %"/>
    <numFmt numFmtId="166" formatCode="#,##0.000"/>
    <numFmt numFmtId="167" formatCode="#,##0.0"/>
    <numFmt numFmtId="168" formatCode="#,##0\ &quot;€&quot;;[Red]\-#,##0\ &quot;€&quot;"/>
    <numFmt numFmtId="169" formatCode="0.0%"/>
    <numFmt numFmtId="170" formatCode="#,##0.00\ &quot;€&quot;;[Red]\-#,##0.00\ &quot;€&quot;"/>
  </numFmts>
  <fonts count="61">
    <font>
      <name val="Calibri"/>
      <charset val="1"/>
      <family val="2"/>
      <color rgb="FF000000"/>
      <sz val="11"/>
    </font>
    <font>
      <name val="Calibri"/>
      <family val="2"/>
      <color theme="1"/>
      <sz val="11"/>
      <scheme val="minor"/>
    </font>
    <font>
      <name val="Calibri"/>
      <charset val="1"/>
      <family val="2"/>
      <color rgb="FFBFBFBF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color rgb="FF0070C0"/>
      <sz val="11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color rgb="FF000000"/>
      <sz val="24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sz val="11"/>
    </font>
    <font>
      <name val="Calibri"/>
      <charset val="1"/>
      <family val="2"/>
      <b val="1"/>
      <color rgb="FFFF0000"/>
      <sz val="14"/>
    </font>
    <font>
      <name val="Calibri"/>
      <charset val="1"/>
      <family val="2"/>
      <color rgb="FF000000"/>
      <sz val="11"/>
      <vertAlign val="superscript"/>
    </font>
    <font>
      <name val="Calibri"/>
      <charset val="1"/>
      <family val="2"/>
      <b val="1"/>
      <color rgb="FFFF0000"/>
      <sz val="16"/>
    </font>
    <font>
      <name val="Arial"/>
      <charset val="1"/>
      <family val="2"/>
      <b val="1"/>
      <color rgb="FF000000"/>
      <sz val="10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sz val="11"/>
    </font>
    <font>
      <name val="Calibri"/>
      <charset val="1"/>
      <family val="2"/>
      <color rgb="FF0563C1"/>
      <sz val="11"/>
      <u val="single"/>
    </font>
    <font>
      <name val="Calibri"/>
      <charset val="1"/>
      <family val="2"/>
      <sz val="11"/>
      <u val="single"/>
    </font>
    <font>
      <name val="Arial"/>
      <charset val="1"/>
      <family val="2"/>
      <sz val="10"/>
    </font>
    <font>
      <name val="Arial"/>
      <charset val="1"/>
      <family val="2"/>
      <color rgb="FF000000"/>
      <sz val="10"/>
    </font>
    <font>
      <name val="Calibri"/>
      <charset val="1"/>
      <family val="2"/>
      <color rgb="FF548235"/>
      <sz val="11"/>
    </font>
    <font>
      <name val="Arial"/>
      <charset val="1"/>
      <family val="2"/>
      <b val="1"/>
      <sz val="10"/>
    </font>
    <font>
      <name val="Calibri"/>
      <charset val="1"/>
      <family val="2"/>
      <color rgb="FF000000"/>
      <sz val="12"/>
    </font>
    <font>
      <name val="Arial"/>
      <charset val="1"/>
      <family val="2"/>
      <color rgb="FF0070C0"/>
      <sz val="10"/>
    </font>
    <font>
      <name val="Arial"/>
      <charset val="1"/>
      <family val="2"/>
      <color rgb="FFFF0000"/>
      <sz val="10"/>
    </font>
    <font>
      <name val="Arial"/>
      <charset val="1"/>
      <family val="2"/>
      <b val="1"/>
      <color rgb="FFFF0000"/>
      <sz val="10"/>
    </font>
    <font>
      <name val="Tahoma"/>
      <charset val="1"/>
      <family val="2"/>
      <color rgb="FF000000"/>
      <sz val="9"/>
    </font>
    <font>
      <name val="Calibri"/>
      <charset val="1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b val="1"/>
      <sz val="11"/>
    </font>
    <font>
      <name val="Calibri"/>
      <family val="2"/>
      <sz val="11"/>
      <scheme val="minor"/>
    </font>
    <font>
      <name val="Calibri"/>
      <family val="2"/>
      <b val="1"/>
      <color rgb="FF000000"/>
      <sz val="12"/>
    </font>
    <font>
      <name val="Calibri"/>
      <charset val="1"/>
      <family val="2"/>
      <color theme="1"/>
      <sz val="11"/>
    </font>
    <font>
      <name val="Calibri"/>
      <family val="2"/>
      <sz val="11"/>
    </font>
    <font>
      <name val="Calibri"/>
      <family val="2"/>
      <sz val="11"/>
      <u val="single"/>
    </font>
    <font>
      <name val="Calibri"/>
      <charset val="1"/>
      <family val="2"/>
      <b val="1"/>
      <sz val="11"/>
      <u val="single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8"/>
    </font>
    <font>
      <name val="Calibri"/>
      <charset val="1"/>
      <family val="2"/>
      <b val="1"/>
      <color rgb="FFFF0000"/>
      <sz val="10"/>
    </font>
    <font>
      <name val="Calibri"/>
      <charset val="1"/>
      <family val="2"/>
      <sz val="10"/>
    </font>
    <font>
      <name val="Calibri"/>
      <charset val="1"/>
      <family val="2"/>
      <color rgb="FF000000"/>
      <sz val="10"/>
    </font>
    <font>
      <name val="Calibri"/>
      <family val="2"/>
      <i val="1"/>
      <color theme="4" tint="-0.249977111117893"/>
      <sz val="11"/>
    </font>
    <font>
      <name val="Calibri"/>
      <family val="2"/>
      <color rgb="FF000000"/>
      <sz val="10"/>
    </font>
    <font>
      <name val="Trebuchet MS"/>
      <family val="2"/>
      <color rgb="FF0C343D"/>
      <sz val="12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Arial"/>
      <family val="2"/>
      <color rgb="FF001D35"/>
      <sz val="11"/>
    </font>
    <font>
      <name val="Calibri"/>
      <charset val="1"/>
      <family val="2"/>
      <color theme="9"/>
      <sz val="11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4"/>
      <sz val="11"/>
      <scheme val="minor"/>
    </font>
    <font>
      <name val="Arial"/>
      <family val="2"/>
      <color rgb="FF5E5E5E"/>
      <sz val="8"/>
    </font>
    <font>
      <name val="Calibri"/>
      <charset val="1"/>
      <family val="2"/>
      <b val="1"/>
      <color theme="1"/>
      <sz val="11"/>
    </font>
  </fonts>
  <fills count="27">
    <fill>
      <patternFill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FFE699"/>
        <bgColor rgb="FFDBDBDB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DBDBDB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BDD7EE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9" tint="0.5999938962981048"/>
        <bgColor rgb="FFFFFFFF"/>
      </patternFill>
    </fill>
    <fill>
      <patternFill patternType="solid">
        <fgColor theme="9" tint="0.3999755851924192"/>
        <bgColor rgb="FFFFFFFF"/>
      </patternFill>
    </fill>
    <fill>
      <gradientFill type="linear" degree="270">
        <stop position="0">
          <color theme="0"/>
        </stop>
        <stop position="1">
          <color theme="4"/>
        </stop>
      </gradientFill>
    </fill>
    <fill>
      <gradientFill type="linear" degree="90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"/>
        <bgColor rgb="FFFFFFFF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rgb="FFFFFFFF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/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rgb="FFFF0000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medium">
        <color auto="1"/>
      </right>
      <top/>
      <bottom style="medium">
        <color rgb="FFFF0000"/>
      </bottom>
      <diagonal/>
    </border>
    <border>
      <left style="medium">
        <color auto="1"/>
      </left>
      <right style="medium">
        <color auto="1"/>
      </right>
      <top/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FF0000"/>
      </left>
      <right style="medium">
        <color rgb="FFFF0000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auto="1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rgb="FFFF0000"/>
      </top>
      <bottom/>
      <diagonal/>
    </border>
  </borders>
  <cellStyleXfs count="6">
    <xf numFmtId="0" fontId="26" fillId="0" borderId="0"/>
    <xf numFmtId="164" fontId="26" fillId="0" borderId="0"/>
    <xf numFmtId="0" fontId="15" fillId="0" borderId="0"/>
    <xf numFmtId="0" fontId="1" fillId="0" borderId="0"/>
    <xf numFmtId="0" fontId="47" fillId="0" borderId="0"/>
    <xf numFmtId="44" fontId="1" fillId="0" borderId="0"/>
  </cellStyleXfs>
  <cellXfs count="599">
    <xf numFmtId="0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center" vertical="center" wrapText="1"/>
    </xf>
    <xf numFmtId="0" fontId="8" fillId="6" borderId="6" applyAlignment="1" pivotButton="0" quotePrefix="0" xfId="0">
      <alignment horizontal="center"/>
    </xf>
    <xf numFmtId="0" fontId="8" fillId="6" borderId="7" applyAlignment="1" pivotButton="0" quotePrefix="0" xfId="0">
      <alignment horizontal="center"/>
    </xf>
    <xf numFmtId="0" fontId="8" fillId="6" borderId="8" applyAlignment="1" pivotButton="0" quotePrefix="0" xfId="0">
      <alignment horizontal="center"/>
    </xf>
    <xf numFmtId="0" fontId="8" fillId="2" borderId="8" applyAlignment="1" pivotButton="0" quotePrefix="0" xfId="0">
      <alignment horizontal="center"/>
    </xf>
    <xf numFmtId="4" fontId="8" fillId="2" borderId="8" applyAlignment="1" pivotButton="0" quotePrefix="0" xfId="0">
      <alignment horizontal="center"/>
    </xf>
    <xf numFmtId="3" fontId="8" fillId="6" borderId="9" applyAlignment="1" pivotButton="0" quotePrefix="0" xfId="0">
      <alignment horizontal="center"/>
    </xf>
    <xf numFmtId="3" fontId="0" fillId="6" borderId="8" pivotButton="0" quotePrefix="0" xfId="0"/>
    <xf numFmtId="4" fontId="8" fillId="6" borderId="8" pivotButton="0" quotePrefix="0" xfId="0"/>
    <xf numFmtId="4" fontId="4" fillId="6" borderId="8" pivotButton="0" quotePrefix="0" xfId="0"/>
    <xf numFmtId="0" fontId="14" fillId="4" borderId="11" applyAlignment="1" pivotButton="0" quotePrefix="0" xfId="0">
      <alignment horizontal="left" wrapText="1"/>
    </xf>
    <xf numFmtId="0" fontId="14" fillId="4" borderId="7" applyAlignment="1" pivotButton="0" quotePrefix="0" xfId="0">
      <alignment horizontal="left" wrapText="1"/>
    </xf>
    <xf numFmtId="0" fontId="14" fillId="4" borderId="8" applyAlignment="1" pivotButton="0" quotePrefix="0" xfId="0">
      <alignment horizontal="center" wrapText="1"/>
    </xf>
    <xf numFmtId="0" fontId="14" fillId="4" borderId="8" applyAlignment="1" pivotButton="0" quotePrefix="0" xfId="0">
      <alignment horizontal="left" wrapText="1"/>
    </xf>
    <xf numFmtId="49" fontId="14" fillId="4" borderId="8" applyAlignment="1" pivotButton="0" quotePrefix="0" xfId="0">
      <alignment horizontal="center" wrapText="1"/>
    </xf>
    <xf numFmtId="0" fontId="8" fillId="4" borderId="1" applyAlignment="1" pivotButton="0" quotePrefix="0" xfId="0">
      <alignment horizontal="left" wrapText="1"/>
    </xf>
    <xf numFmtId="0" fontId="0" fillId="0" borderId="4" pivotButton="0" quotePrefix="0" xfId="0"/>
    <xf numFmtId="0" fontId="0" fillId="0" borderId="12" pivotButton="0" quotePrefix="0" xfId="0"/>
    <xf numFmtId="0" fontId="0" fillId="0" borderId="1" pivotButton="0" quotePrefix="0" xfId="0"/>
    <xf numFmtId="0" fontId="8" fillId="6" borderId="13" applyAlignment="1" pivotButton="0" quotePrefix="0" xfId="0">
      <alignment horizontal="center"/>
    </xf>
    <xf numFmtId="0" fontId="8" fillId="6" borderId="5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2" fontId="8" fillId="2" borderId="1" applyAlignment="1" pivotButton="0" quotePrefix="0" xfId="0">
      <alignment horizontal="center"/>
    </xf>
    <xf numFmtId="3" fontId="8" fillId="6" borderId="4" applyAlignment="1" pivotButton="0" quotePrefix="0" xfId="0">
      <alignment horizontal="center"/>
    </xf>
    <xf numFmtId="3" fontId="0" fillId="6" borderId="1" pivotButton="0" quotePrefix="0" xfId="0"/>
    <xf numFmtId="4" fontId="0" fillId="6" borderId="1" pivotButton="0" quotePrefix="0" xfId="0"/>
    <xf numFmtId="4" fontId="4" fillId="6" borderId="1" pivotButton="0" quotePrefix="0" xfId="0"/>
    <xf numFmtId="0" fontId="14" fillId="4" borderId="15" applyAlignment="1" pivotButton="0" quotePrefix="0" xfId="0">
      <alignment horizontal="left" wrapText="1"/>
    </xf>
    <xf numFmtId="0" fontId="14" fillId="4" borderId="5" applyAlignment="1" pivotButton="0" quotePrefix="0" xfId="0">
      <alignment horizontal="left" wrapText="1"/>
    </xf>
    <xf numFmtId="0" fontId="8" fillId="4" borderId="1" applyAlignment="1" pivotButton="0" quotePrefix="0" xfId="0">
      <alignment horizontal="center" wrapText="1"/>
    </xf>
    <xf numFmtId="0" fontId="14" fillId="4" borderId="1" applyAlignment="1" pivotButton="0" quotePrefix="0" xfId="0">
      <alignment horizontal="left" wrapText="1"/>
    </xf>
    <xf numFmtId="49" fontId="8" fillId="4" borderId="1" applyAlignment="1" pivotButton="0" quotePrefix="0" xfId="0">
      <alignment horizontal="center" wrapText="1"/>
    </xf>
    <xf numFmtId="0" fontId="16" fillId="4" borderId="1" applyAlignment="1" pivotButton="0" quotePrefix="0" xfId="2">
      <alignment horizontal="left" wrapText="1"/>
    </xf>
    <xf numFmtId="164" fontId="0" fillId="0" borderId="1" pivotButton="0" quotePrefix="0" xfId="0"/>
    <xf numFmtId="1" fontId="8" fillId="2" borderId="1" applyAlignment="1" pivotButton="0" quotePrefix="0" xfId="0">
      <alignment horizontal="center"/>
    </xf>
    <xf numFmtId="2" fontId="17" fillId="2" borderId="1" applyAlignment="1" pivotButton="0" quotePrefix="0" xfId="0">
      <alignment horizontal="center"/>
    </xf>
    <xf numFmtId="4" fontId="18" fillId="2" borderId="1" applyAlignment="1" pivotButton="0" quotePrefix="0" xfId="0">
      <alignment horizontal="center"/>
    </xf>
    <xf numFmtId="0" fontId="17" fillId="6" borderId="18" applyAlignment="1" pivotButton="0" quotePrefix="0" xfId="0">
      <alignment horizontal="center"/>
    </xf>
    <xf numFmtId="0" fontId="17" fillId="2" borderId="18" applyAlignment="1" pivotButton="0" quotePrefix="0" xfId="0">
      <alignment horizontal="center"/>
    </xf>
    <xf numFmtId="2" fontId="17" fillId="2" borderId="18" applyAlignment="1" pivotButton="0" quotePrefix="0" xfId="0">
      <alignment horizontal="center"/>
    </xf>
    <xf numFmtId="3" fontId="17" fillId="6" borderId="19" applyAlignment="1" pivotButton="0" quotePrefix="0" xfId="0">
      <alignment horizontal="center"/>
    </xf>
    <xf numFmtId="3" fontId="0" fillId="6" borderId="18" pivotButton="0" quotePrefix="0" xfId="0"/>
    <xf numFmtId="4" fontId="4" fillId="6" borderId="18" pivotButton="0" quotePrefix="0" xfId="0"/>
    <xf numFmtId="0" fontId="8" fillId="6" borderId="22" applyAlignment="1" pivotButton="0" quotePrefix="0" xfId="0">
      <alignment horizontal="center"/>
    </xf>
    <xf numFmtId="0" fontId="8" fillId="6" borderId="23" applyAlignment="1" pivotButton="0" quotePrefix="0" xfId="0">
      <alignment horizontal="center"/>
    </xf>
    <xf numFmtId="0" fontId="8" fillId="2" borderId="23" applyAlignment="1" pivotButton="0" quotePrefix="0" xfId="0">
      <alignment horizontal="center"/>
    </xf>
    <xf numFmtId="2" fontId="17" fillId="2" borderId="23" applyAlignment="1" pivotButton="0" quotePrefix="0" xfId="0">
      <alignment horizontal="center"/>
    </xf>
    <xf numFmtId="4" fontId="18" fillId="2" borderId="23" applyAlignment="1" pivotButton="0" quotePrefix="0" xfId="0">
      <alignment horizontal="center"/>
    </xf>
    <xf numFmtId="0" fontId="4" fillId="2" borderId="23" applyAlignment="1" pivotButton="0" quotePrefix="0" xfId="0">
      <alignment horizontal="center"/>
    </xf>
    <xf numFmtId="3" fontId="8" fillId="6" borderId="24" applyAlignment="1" pivotButton="0" quotePrefix="0" xfId="0">
      <alignment horizontal="center"/>
    </xf>
    <xf numFmtId="3" fontId="0" fillId="6" borderId="25" pivotButton="0" quotePrefix="0" xfId="0"/>
    <xf numFmtId="4" fontId="4" fillId="6" borderId="25" pivotButton="0" quotePrefix="0" xfId="0"/>
    <xf numFmtId="0" fontId="0" fillId="6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4" fontId="8" fillId="6" borderId="1" pivotButton="0" quotePrefix="0" xfId="0"/>
    <xf numFmtId="0" fontId="0" fillId="2" borderId="1" applyAlignment="1" pivotButton="0" quotePrefix="0" xfId="0">
      <alignment horizontal="center"/>
    </xf>
    <xf numFmtId="0" fontId="8" fillId="4" borderId="5" applyAlignment="1" pivotButton="0" quotePrefix="0" xfId="0">
      <alignment horizontal="left" wrapText="1"/>
    </xf>
    <xf numFmtId="164" fontId="0" fillId="0" borderId="1" pivotButton="0" quotePrefix="0" xfId="1"/>
    <xf numFmtId="0" fontId="8" fillId="6" borderId="27" applyAlignment="1" pivotButton="0" quotePrefix="0" xfId="0">
      <alignment horizontal="center"/>
    </xf>
    <xf numFmtId="0" fontId="8" fillId="6" borderId="28" applyAlignment="1" pivotButton="0" quotePrefix="0" xfId="0">
      <alignment horizontal="center"/>
    </xf>
    <xf numFmtId="0" fontId="0" fillId="2" borderId="28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4" fillId="2" borderId="28" applyAlignment="1" pivotButton="0" quotePrefix="0" xfId="0">
      <alignment horizontal="center"/>
    </xf>
    <xf numFmtId="3" fontId="8" fillId="6" borderId="29" applyAlignment="1" pivotButton="0" quotePrefix="0" xfId="0">
      <alignment horizontal="center"/>
    </xf>
    <xf numFmtId="0" fontId="8" fillId="6" borderId="16" applyAlignment="1" pivotButton="0" quotePrefix="0" xfId="0">
      <alignment horizontal="center"/>
    </xf>
    <xf numFmtId="0" fontId="8" fillId="6" borderId="17" applyAlignment="1" pivotButton="0" quotePrefix="0" xfId="0">
      <alignment horizontal="center"/>
    </xf>
    <xf numFmtId="0" fontId="8" fillId="6" borderId="18" applyAlignment="1" pivotButton="0" quotePrefix="0" xfId="0">
      <alignment horizontal="center"/>
    </xf>
    <xf numFmtId="0" fontId="0" fillId="2" borderId="18" applyAlignment="1" pivotButton="0" quotePrefix="0" xfId="0">
      <alignment horizontal="center"/>
    </xf>
    <xf numFmtId="0" fontId="4" fillId="2" borderId="18" applyAlignment="1" pivotButton="0" quotePrefix="0" xfId="0">
      <alignment horizontal="center"/>
    </xf>
    <xf numFmtId="3" fontId="8" fillId="6" borderId="19" applyAlignment="1" pivotButton="0" quotePrefix="0" xfId="0">
      <alignment horizontal="center"/>
    </xf>
    <xf numFmtId="4" fontId="0" fillId="6" borderId="25" pivotButton="0" quotePrefix="0" xfId="0"/>
    <xf numFmtId="0" fontId="8" fillId="4" borderId="4" applyAlignment="1" pivotButton="0" quotePrefix="0" xfId="0">
      <alignment horizontal="left" wrapText="1"/>
    </xf>
    <xf numFmtId="0" fontId="8" fillId="0" borderId="4" pivotButton="0" quotePrefix="0" xfId="0"/>
    <xf numFmtId="0" fontId="8" fillId="0" borderId="12" pivotButton="0" quotePrefix="0" xfId="0"/>
    <xf numFmtId="0" fontId="8" fillId="0" borderId="1" pivotButton="0" quotePrefix="0" xfId="0"/>
    <xf numFmtId="164" fontId="8" fillId="0" borderId="1" pivotButton="0" quotePrefix="0" xfId="0"/>
    <xf numFmtId="0" fontId="20" fillId="4" borderId="15" applyAlignment="1" pivotButton="0" quotePrefix="0" xfId="0">
      <alignment horizontal="left" wrapText="1"/>
    </xf>
    <xf numFmtId="0" fontId="20" fillId="4" borderId="5" applyAlignment="1" pivotButton="0" quotePrefix="0" xfId="0">
      <alignment horizontal="left" wrapText="1"/>
    </xf>
    <xf numFmtId="0" fontId="20" fillId="4" borderId="1" applyAlignment="1" pivotButton="0" quotePrefix="0" xfId="0">
      <alignment horizontal="left" wrapText="1"/>
    </xf>
    <xf numFmtId="0" fontId="21" fillId="0" borderId="0" pivotButton="0" quotePrefix="0" xfId="0"/>
    <xf numFmtId="4" fontId="8" fillId="6" borderId="18" pivotButton="0" quotePrefix="0" xfId="0"/>
    <xf numFmtId="4" fontId="8" fillId="6" borderId="25" pivotButton="0" quotePrefix="0" xfId="0"/>
    <xf numFmtId="164" fontId="3" fillId="0" borderId="1" pivotButton="0" quotePrefix="0" xfId="0"/>
    <xf numFmtId="0" fontId="3" fillId="0" borderId="1" pivotButton="0" quotePrefix="0" xfId="0"/>
    <xf numFmtId="0" fontId="17" fillId="6" borderId="1" applyAlignment="1" pivotButton="0" quotePrefix="0" xfId="0">
      <alignment horizontal="center"/>
    </xf>
    <xf numFmtId="0" fontId="17" fillId="2" borderId="1" applyAlignment="1" pivotButton="0" quotePrefix="0" xfId="0">
      <alignment horizontal="center"/>
    </xf>
    <xf numFmtId="0" fontId="17" fillId="6" borderId="28" applyAlignment="1" pivotButton="0" quotePrefix="0" xfId="0">
      <alignment horizontal="center"/>
    </xf>
    <xf numFmtId="0" fontId="3" fillId="6" borderId="28" applyAlignment="1" pivotButton="0" quotePrefix="0" xfId="0">
      <alignment horizontal="center"/>
    </xf>
    <xf numFmtId="4" fontId="0" fillId="6" borderId="18" pivotButton="0" quotePrefix="0" xfId="0"/>
    <xf numFmtId="0" fontId="17" fillId="6" borderId="23" applyAlignment="1" pivotButton="0" quotePrefix="0" xfId="0">
      <alignment horizontal="center"/>
    </xf>
    <xf numFmtId="49" fontId="17" fillId="4" borderId="1" applyAlignment="1" pivotButton="0" quotePrefix="0" xfId="0">
      <alignment horizontal="center" wrapText="1"/>
    </xf>
    <xf numFmtId="0" fontId="17" fillId="4" borderId="4" applyAlignment="1" pivotButton="0" quotePrefix="0" xfId="0">
      <alignment horizontal="left" wrapText="1"/>
    </xf>
    <xf numFmtId="0" fontId="17" fillId="4" borderId="1" applyAlignment="1" pivotButton="0" quotePrefix="0" xfId="0">
      <alignment horizontal="left" wrapText="1"/>
    </xf>
    <xf numFmtId="0" fontId="8" fillId="6" borderId="3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0" fillId="2" borderId="23" applyAlignment="1" pivotButton="0" quotePrefix="0" xfId="0">
      <alignment horizontal="center"/>
    </xf>
    <xf numFmtId="0" fontId="18" fillId="2" borderId="1" applyAlignment="1" pivotButton="0" quotePrefix="0" xfId="0">
      <alignment horizontal="center"/>
    </xf>
    <xf numFmtId="3" fontId="17" fillId="6" borderId="1" applyAlignment="1" pivotButton="0" quotePrefix="0" xfId="0">
      <alignment horizontal="center"/>
    </xf>
    <xf numFmtId="0" fontId="8" fillId="6" borderId="31" applyAlignment="1" pivotButton="0" quotePrefix="0" xfId="0">
      <alignment horizontal="center"/>
    </xf>
    <xf numFmtId="0" fontId="8" fillId="6" borderId="32" applyAlignment="1" pivotButton="0" quotePrefix="0" xfId="0">
      <alignment horizontal="center"/>
    </xf>
    <xf numFmtId="0" fontId="0" fillId="2" borderId="32" applyAlignment="1" pivotButton="0" quotePrefix="0" xfId="0">
      <alignment horizontal="center"/>
    </xf>
    <xf numFmtId="3" fontId="8" fillId="6" borderId="33" applyAlignment="1" pivotButton="0" quotePrefix="0" xfId="0">
      <alignment horizontal="center"/>
    </xf>
    <xf numFmtId="3" fontId="0" fillId="6" borderId="34" pivotButton="0" quotePrefix="0" xfId="0"/>
    <xf numFmtId="4" fontId="8" fillId="6" borderId="34" pivotButton="0" quotePrefix="0" xfId="0"/>
    <xf numFmtId="4" fontId="4" fillId="6" borderId="34" pivotButton="0" quotePrefix="0" xfId="0"/>
    <xf numFmtId="0" fontId="17" fillId="0" borderId="6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0" fontId="17" fillId="0" borderId="25" applyAlignment="1" pivotButton="0" quotePrefix="0" xfId="0">
      <alignment horizontal="center"/>
    </xf>
    <xf numFmtId="0" fontId="17" fillId="2" borderId="25" applyAlignment="1" pivotButton="0" quotePrefix="0" xfId="0">
      <alignment horizontal="center"/>
    </xf>
    <xf numFmtId="3" fontId="17" fillId="0" borderId="36" applyAlignment="1" pivotButton="0" quotePrefix="0" xfId="0">
      <alignment horizontal="center"/>
    </xf>
    <xf numFmtId="3" fontId="0" fillId="0" borderId="25" pivotButton="0" quotePrefix="0" xfId="0"/>
    <xf numFmtId="4" fontId="4" fillId="0" borderId="25" pivotButton="0" quotePrefix="0" xfId="0"/>
    <xf numFmtId="0" fontId="8" fillId="0" borderId="13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3" fontId="8" fillId="0" borderId="4" applyAlignment="1" pivotButton="0" quotePrefix="0" xfId="0">
      <alignment horizontal="center"/>
    </xf>
    <xf numFmtId="3" fontId="0" fillId="0" borderId="1" pivotButton="0" quotePrefix="0" xfId="0"/>
    <xf numFmtId="4" fontId="4" fillId="0" borderId="1" pivotButton="0" quotePrefix="0" xfId="0"/>
    <xf numFmtId="3" fontId="8" fillId="0" borderId="1" applyAlignment="1" pivotButton="0" quotePrefix="0" xfId="0">
      <alignment horizontal="center"/>
    </xf>
    <xf numFmtId="164" fontId="8" fillId="0" borderId="1" pivotButton="0" quotePrefix="0" xfId="1"/>
    <xf numFmtId="0" fontId="8" fillId="0" borderId="16" applyAlignment="1" pivotButton="0" quotePrefix="0" xfId="0">
      <alignment horizontal="center"/>
    </xf>
    <xf numFmtId="0" fontId="8" fillId="0" borderId="17" applyAlignment="1" pivotButton="0" quotePrefix="0" xfId="0">
      <alignment horizontal="center"/>
    </xf>
    <xf numFmtId="3" fontId="8" fillId="0" borderId="18" applyAlignment="1" pivotButton="0" quotePrefix="0" xfId="0">
      <alignment horizontal="center"/>
    </xf>
    <xf numFmtId="0" fontId="17" fillId="0" borderId="18" applyAlignment="1" pivotButton="0" quotePrefix="0" xfId="0">
      <alignment horizontal="center"/>
    </xf>
    <xf numFmtId="0" fontId="8" fillId="2" borderId="18" applyAlignment="1" pivotButton="0" quotePrefix="0" xfId="0">
      <alignment horizontal="center"/>
    </xf>
    <xf numFmtId="3" fontId="8" fillId="0" borderId="19" applyAlignment="1" pivotButton="0" quotePrefix="0" xfId="0">
      <alignment horizontal="center"/>
    </xf>
    <xf numFmtId="3" fontId="0" fillId="0" borderId="18" pivotButton="0" quotePrefix="0" xfId="0"/>
    <xf numFmtId="4" fontId="4" fillId="0" borderId="18" pivotButton="0" quotePrefix="0" xfId="0"/>
    <xf numFmtId="0" fontId="17" fillId="0" borderId="37" applyAlignment="1" pivotButton="0" quotePrefix="0" xfId="0">
      <alignment horizontal="center"/>
    </xf>
    <xf numFmtId="0" fontId="22" fillId="2" borderId="25" applyAlignment="1" pivotButton="0" quotePrefix="0" xfId="0">
      <alignment horizontal="center"/>
    </xf>
    <xf numFmtId="0" fontId="17" fillId="0" borderId="13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22" fillId="2" borderId="1" applyAlignment="1" pivotButton="0" quotePrefix="0" xfId="0">
      <alignment horizontal="center"/>
    </xf>
    <xf numFmtId="3" fontId="17" fillId="0" borderId="4" applyAlignment="1" pivotButton="0" quotePrefix="0" xfId="0">
      <alignment horizontal="center"/>
    </xf>
    <xf numFmtId="0" fontId="8" fillId="0" borderId="18" applyAlignment="1" pivotButton="0" quotePrefix="0" xfId="0">
      <alignment horizontal="center"/>
    </xf>
    <xf numFmtId="0" fontId="17" fillId="0" borderId="23" applyAlignment="1" pivotButton="0" quotePrefix="0" xfId="0">
      <alignment horizontal="center"/>
    </xf>
    <xf numFmtId="0" fontId="17" fillId="0" borderId="38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2" borderId="5" applyAlignment="1" pivotButton="0" quotePrefix="0" xfId="0">
      <alignment horizontal="center"/>
    </xf>
    <xf numFmtId="3" fontId="17" fillId="0" borderId="1" applyAlignment="1" pivotButton="0" quotePrefix="0" xfId="0">
      <alignment horizontal="center"/>
    </xf>
    <xf numFmtId="0" fontId="17" fillId="0" borderId="39" applyAlignment="1" pivotButton="0" quotePrefix="0" xfId="0">
      <alignment horizontal="center"/>
    </xf>
    <xf numFmtId="3" fontId="17" fillId="0" borderId="25" applyAlignment="1" pivotButton="0" quotePrefix="0" xfId="0">
      <alignment horizontal="center"/>
    </xf>
    <xf numFmtId="0" fontId="8" fillId="0" borderId="37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3" fontId="8" fillId="0" borderId="25" applyAlignment="1" pivotButton="0" quotePrefix="0" xfId="0">
      <alignment horizontal="center"/>
    </xf>
    <xf numFmtId="0" fontId="8" fillId="0" borderId="25" applyAlignment="1" pivotButton="0" quotePrefix="0" xfId="0">
      <alignment horizontal="center"/>
    </xf>
    <xf numFmtId="0" fontId="8" fillId="0" borderId="36" applyAlignment="1" pivotButton="0" quotePrefix="0" xfId="0">
      <alignment horizontal="center"/>
    </xf>
    <xf numFmtId="0" fontId="8" fillId="2" borderId="5" applyAlignment="1" pivotButton="0" quotePrefix="0" xfId="0">
      <alignment horizontal="center"/>
    </xf>
    <xf numFmtId="4" fontId="22" fillId="2" borderId="1" applyAlignment="1" pivotButton="0" quotePrefix="0" xfId="0">
      <alignment horizontal="center"/>
    </xf>
    <xf numFmtId="4" fontId="22" fillId="2" borderId="18" applyAlignment="1" pivotButton="0" quotePrefix="0" xfId="0">
      <alignment horizontal="center"/>
    </xf>
    <xf numFmtId="3" fontId="17" fillId="0" borderId="19" applyAlignment="1" pivotButton="0" quotePrefix="0" xfId="0">
      <alignment horizontal="center"/>
    </xf>
    <xf numFmtId="3" fontId="17" fillId="0" borderId="13" applyAlignment="1" pivotButton="0" quotePrefix="0" xfId="0">
      <alignment horizontal="center"/>
    </xf>
    <xf numFmtId="3" fontId="17" fillId="0" borderId="5" applyAlignment="1" pivotButton="0" quotePrefix="0" xfId="0">
      <alignment horizontal="center"/>
    </xf>
    <xf numFmtId="4" fontId="17" fillId="0" borderId="1" applyAlignment="1" pivotButton="0" quotePrefix="0" xfId="0">
      <alignment horizontal="center"/>
    </xf>
    <xf numFmtId="3" fontId="8" fillId="0" borderId="13" applyAlignment="1" pivotButton="0" quotePrefix="0" xfId="0">
      <alignment horizontal="center"/>
    </xf>
    <xf numFmtId="0" fontId="8" fillId="0" borderId="40" applyAlignment="1" pivotButton="0" quotePrefix="0" xfId="0">
      <alignment horizontal="center"/>
    </xf>
    <xf numFmtId="0" fontId="8" fillId="0" borderId="41" applyAlignment="1" pivotButton="0" quotePrefix="0" xfId="0">
      <alignment horizontal="center"/>
    </xf>
    <xf numFmtId="3" fontId="8" fillId="0" borderId="34" applyAlignment="1" pivotButton="0" quotePrefix="0" xfId="0">
      <alignment horizontal="center"/>
    </xf>
    <xf numFmtId="0" fontId="17" fillId="0" borderId="34" applyAlignment="1" pivotButton="0" quotePrefix="0" xfId="0">
      <alignment horizontal="center"/>
    </xf>
    <xf numFmtId="0" fontId="17" fillId="0" borderId="28" applyAlignment="1" pivotButton="0" quotePrefix="0" xfId="0">
      <alignment horizontal="center"/>
    </xf>
    <xf numFmtId="0" fontId="0" fillId="2" borderId="34" applyAlignment="1" pivotButton="0" quotePrefix="0" xfId="0">
      <alignment horizontal="center"/>
    </xf>
    <xf numFmtId="0" fontId="18" fillId="2" borderId="34" applyAlignment="1" pivotButton="0" quotePrefix="0" xfId="0">
      <alignment horizontal="center"/>
    </xf>
    <xf numFmtId="4" fontId="22" fillId="2" borderId="34" applyAlignment="1" pivotButton="0" quotePrefix="0" xfId="0">
      <alignment horizontal="center"/>
    </xf>
    <xf numFmtId="3" fontId="17" fillId="0" borderId="42" applyAlignment="1" pivotButton="0" quotePrefix="0" xfId="0">
      <alignment horizontal="center"/>
    </xf>
    <xf numFmtId="3" fontId="0" fillId="0" borderId="34" pivotButton="0" quotePrefix="0" xfId="0"/>
    <xf numFmtId="4" fontId="4" fillId="0" borderId="34" pivotButton="0" quotePrefix="0" xfId="0"/>
    <xf numFmtId="3" fontId="8" fillId="6" borderId="8" applyAlignment="1" pivotButton="0" quotePrefix="0" xfId="0">
      <alignment horizontal="center"/>
    </xf>
    <xf numFmtId="4" fontId="17" fillId="2" borderId="8" applyAlignment="1" pivotButton="0" quotePrefix="0" xfId="0">
      <alignment horizontal="center"/>
    </xf>
    <xf numFmtId="3" fontId="17" fillId="6" borderId="9" applyAlignment="1" pivotButton="0" quotePrefix="0" xfId="0">
      <alignment horizontal="center"/>
    </xf>
    <xf numFmtId="3" fontId="8" fillId="6" borderId="1" applyAlignment="1" pivotButton="0" quotePrefix="0" xfId="0">
      <alignment horizontal="center"/>
    </xf>
    <xf numFmtId="4" fontId="17" fillId="2" borderId="1" applyAlignment="1" pivotButton="0" quotePrefix="0" xfId="0">
      <alignment horizontal="center"/>
    </xf>
    <xf numFmtId="3" fontId="17" fillId="6" borderId="4" applyAlignment="1" pivotButton="0" quotePrefix="0" xfId="0">
      <alignment horizontal="center"/>
    </xf>
    <xf numFmtId="0" fontId="0" fillId="5" borderId="3" pivotButton="0" quotePrefix="0" xfId="0"/>
    <xf numFmtId="0" fontId="0" fillId="5" borderId="0" pivotButton="0" quotePrefix="0" xfId="0"/>
    <xf numFmtId="3" fontId="8" fillId="6" borderId="18" applyAlignment="1" pivotButton="0" quotePrefix="0" xfId="0">
      <alignment horizontal="center"/>
    </xf>
    <xf numFmtId="4" fontId="17" fillId="2" borderId="18" applyAlignment="1" pivotButton="0" quotePrefix="0" xfId="0">
      <alignment horizontal="center"/>
    </xf>
    <xf numFmtId="0" fontId="8" fillId="6" borderId="37" applyAlignment="1" pivotButton="0" quotePrefix="0" xfId="0">
      <alignment horizontal="center"/>
    </xf>
    <xf numFmtId="3" fontId="8" fillId="6" borderId="23" applyAlignment="1" pivotButton="0" quotePrefix="0" xfId="0">
      <alignment horizontal="center"/>
    </xf>
    <xf numFmtId="4" fontId="17" fillId="2" borderId="23" applyAlignment="1" pivotButton="0" quotePrefix="0" xfId="0">
      <alignment horizontal="center"/>
    </xf>
    <xf numFmtId="4" fontId="22" fillId="2" borderId="23" applyAlignment="1" pivotButton="0" quotePrefix="0" xfId="0">
      <alignment horizontal="center"/>
    </xf>
    <xf numFmtId="3" fontId="17" fillId="6" borderId="24" applyAlignment="1" pivotButton="0" quotePrefix="0" xfId="0">
      <alignment horizontal="center"/>
    </xf>
    <xf numFmtId="4" fontId="8" fillId="6" borderId="23" pivotButton="0" quotePrefix="0" xfId="0"/>
    <xf numFmtId="4" fontId="4" fillId="6" borderId="23" pivotButton="0" quotePrefix="0" xfId="0"/>
    <xf numFmtId="0" fontId="8" fillId="6" borderId="40" applyAlignment="1" pivotButton="0" quotePrefix="0" xfId="0">
      <alignment horizontal="center"/>
    </xf>
    <xf numFmtId="0" fontId="8" fillId="6" borderId="44" applyAlignment="1" pivotButton="0" quotePrefix="0" xfId="0">
      <alignment horizontal="center"/>
    </xf>
    <xf numFmtId="3" fontId="8" fillId="6" borderId="34" applyAlignment="1" pivotButton="0" quotePrefix="0" xfId="0">
      <alignment horizontal="center"/>
    </xf>
    <xf numFmtId="0" fontId="8" fillId="6" borderId="34" applyAlignment="1" pivotButton="0" quotePrefix="0" xfId="0">
      <alignment horizontal="center"/>
    </xf>
    <xf numFmtId="4" fontId="18" fillId="2" borderId="34" applyAlignment="1" pivotButton="0" quotePrefix="0" xfId="0">
      <alignment horizontal="center"/>
    </xf>
    <xf numFmtId="3" fontId="17" fillId="6" borderId="42" applyAlignment="1" pivotButton="0" quotePrefix="0" xfId="0">
      <alignment horizontal="center"/>
    </xf>
    <xf numFmtId="0" fontId="14" fillId="4" borderId="41" applyAlignment="1" pivotButton="0" quotePrefix="0" xfId="0">
      <alignment horizontal="left" wrapText="1"/>
    </xf>
    <xf numFmtId="0" fontId="8" fillId="4" borderId="34" applyAlignment="1" pivotButton="0" quotePrefix="0" xfId="0">
      <alignment horizontal="center" wrapText="1"/>
    </xf>
    <xf numFmtId="0" fontId="16" fillId="4" borderId="34" applyAlignment="1" pivotButton="0" quotePrefix="0" xfId="2">
      <alignment horizontal="left" wrapText="1"/>
    </xf>
    <xf numFmtId="0" fontId="14" fillId="4" borderId="34" applyAlignment="1" pivotButton="0" quotePrefix="0" xfId="0">
      <alignment horizontal="left" wrapText="1"/>
    </xf>
    <xf numFmtId="49" fontId="8" fillId="4" borderId="34" applyAlignment="1" pivotButton="0" quotePrefix="0" xfId="0">
      <alignment horizontal="center" wrapText="1"/>
    </xf>
    <xf numFmtId="0" fontId="8" fillId="0" borderId="0" applyAlignment="1" pivotButton="0" quotePrefix="0" xfId="0">
      <alignment horizontal="left"/>
    </xf>
    <xf numFmtId="4" fontId="3" fillId="0" borderId="4" applyAlignment="1" pivotButton="0" quotePrefix="0" xfId="0">
      <alignment horizontal="left"/>
    </xf>
    <xf numFmtId="4" fontId="3" fillId="0" borderId="5" applyAlignment="1" pivotButton="0" quotePrefix="0" xfId="0">
      <alignment horizontal="left"/>
    </xf>
    <xf numFmtId="3" fontId="24" fillId="0" borderId="1" applyAlignment="1" pivotButton="0" quotePrefix="0" xfId="0">
      <alignment horizontal="right"/>
    </xf>
    <xf numFmtId="3" fontId="3" fillId="0" borderId="0" pivotButton="0" quotePrefix="0" xfId="0"/>
    <xf numFmtId="4" fontId="3" fillId="0" borderId="0" pivotButton="0" quotePrefix="0" xfId="0"/>
    <xf numFmtId="4" fontId="0" fillId="0" borderId="0" applyAlignment="1" pivotButton="0" quotePrefix="0" xfId="0">
      <alignment horizontal="center"/>
    </xf>
    <xf numFmtId="0" fontId="7" fillId="0" borderId="0" pivotButton="0" quotePrefix="0" xfId="0"/>
    <xf numFmtId="0" fontId="31" fillId="4" borderId="15" applyAlignment="1" pivotButton="0" quotePrefix="0" xfId="0">
      <alignment horizontal="left" wrapText="1"/>
    </xf>
    <xf numFmtId="0" fontId="31" fillId="4" borderId="5" applyAlignment="1" pivotButton="0" quotePrefix="0" xfId="0">
      <alignment horizontal="left" wrapText="1"/>
    </xf>
    <xf numFmtId="0" fontId="31" fillId="4" borderId="1" applyAlignment="1" pivotButton="0" quotePrefix="0" xfId="0">
      <alignment horizontal="center" wrapText="1"/>
    </xf>
    <xf numFmtId="0" fontId="31" fillId="4" borderId="1" applyAlignment="1" pivotButton="0" quotePrefix="0" xfId="0">
      <alignment horizontal="left" wrapText="1"/>
    </xf>
    <xf numFmtId="0" fontId="0" fillId="6" borderId="0" applyAlignment="1" pivotButton="0" quotePrefix="0" xfId="0">
      <alignment horizontal="center"/>
    </xf>
    <xf numFmtId="0" fontId="0" fillId="10" borderId="3" pivotButton="0" quotePrefix="0" xfId="0"/>
    <xf numFmtId="0" fontId="0" fillId="10" borderId="0" pivotButton="0" quotePrefix="0" xfId="0"/>
    <xf numFmtId="4" fontId="8" fillId="9" borderId="1" pivotButton="0" quotePrefix="0" xfId="0"/>
    <xf numFmtId="4" fontId="8" fillId="9" borderId="18" pivotButton="0" quotePrefix="0" xfId="0"/>
    <xf numFmtId="4" fontId="8" fillId="7" borderId="25" pivotButton="0" quotePrefix="0" xfId="0"/>
    <xf numFmtId="4" fontId="4" fillId="7" borderId="1" pivotButton="0" quotePrefix="0" xfId="0"/>
    <xf numFmtId="4" fontId="4" fillId="7" borderId="18" pivotButton="0" quotePrefix="0" xfId="0"/>
    <xf numFmtId="4" fontId="8" fillId="8" borderId="25" pivotButton="0" quotePrefix="0" xfId="0"/>
    <xf numFmtId="4" fontId="8" fillId="11" borderId="1" pivotButton="0" quotePrefix="0" xfId="0"/>
    <xf numFmtId="0" fontId="0" fillId="2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34" fillId="6" borderId="1" pivotButton="0" quotePrefix="0" xfId="0"/>
    <xf numFmtId="0" fontId="8" fillId="2" borderId="32" applyAlignment="1" pivotButton="0" quotePrefix="0" xfId="0">
      <alignment horizontal="center"/>
    </xf>
    <xf numFmtId="0" fontId="8" fillId="12" borderId="6" applyAlignment="1" pivotButton="0" quotePrefix="0" xfId="0">
      <alignment horizontal="center"/>
    </xf>
    <xf numFmtId="0" fontId="8" fillId="12" borderId="13" applyAlignment="1" pivotButton="0" quotePrefix="0" xfId="0">
      <alignment horizontal="center"/>
    </xf>
    <xf numFmtId="0" fontId="8" fillId="12" borderId="21" applyAlignment="1" pivotButton="0" quotePrefix="0" xfId="0">
      <alignment horizontal="center"/>
    </xf>
    <xf numFmtId="0" fontId="8" fillId="12" borderId="16" applyAlignment="1" pivotButton="0" quotePrefix="0" xfId="0">
      <alignment horizontal="center"/>
    </xf>
    <xf numFmtId="0" fontId="8" fillId="13" borderId="30" applyAlignment="1" pivotButton="0" quotePrefix="0" xfId="0">
      <alignment horizontal="center"/>
    </xf>
    <xf numFmtId="0" fontId="35" fillId="4" borderId="5" applyAlignment="1" pivotButton="0" quotePrefix="0" xfId="0">
      <alignment horizontal="left" wrapText="1"/>
    </xf>
    <xf numFmtId="0" fontId="35" fillId="4" borderId="1" applyAlignment="1" pivotButton="0" quotePrefix="0" xfId="0">
      <alignment horizontal="center" wrapText="1"/>
    </xf>
    <xf numFmtId="0" fontId="36" fillId="4" borderId="1" applyAlignment="1" pivotButton="0" quotePrefix="0" xfId="2">
      <alignment horizontal="left" wrapText="1"/>
    </xf>
    <xf numFmtId="0" fontId="35" fillId="4" borderId="1" applyAlignment="1" pivotButton="0" quotePrefix="0" xfId="0">
      <alignment horizontal="left" wrapText="1"/>
    </xf>
    <xf numFmtId="49" fontId="35" fillId="4" borderId="1" applyAlignment="1" pivotButton="0" quotePrefix="0" xfId="0">
      <alignment horizontal="center" wrapText="1"/>
    </xf>
    <xf numFmtId="0" fontId="35" fillId="4" borderId="4" applyAlignment="1" pivotButton="0" quotePrefix="0" xfId="0">
      <alignment horizontal="left" wrapText="1"/>
    </xf>
    <xf numFmtId="0" fontId="35" fillId="0" borderId="4" pivotButton="0" quotePrefix="0" xfId="0"/>
    <xf numFmtId="4" fontId="8" fillId="7" borderId="1" pivotButton="0" quotePrefix="0" xfId="0"/>
    <xf numFmtId="0" fontId="8" fillId="4" borderId="15" applyAlignment="1" pivotButton="0" quotePrefix="0" xfId="0">
      <alignment horizontal="left" wrapText="1"/>
    </xf>
    <xf numFmtId="0" fontId="20" fillId="4" borderId="1" applyAlignment="1" pivotButton="0" quotePrefix="0" xfId="0">
      <alignment horizontal="center" wrapText="1"/>
    </xf>
    <xf numFmtId="49" fontId="20" fillId="4" borderId="1" applyAlignment="1" pivotButton="0" quotePrefix="0" xfId="0">
      <alignment horizontal="center" wrapText="1"/>
    </xf>
    <xf numFmtId="0" fontId="8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center"/>
    </xf>
    <xf numFmtId="0" fontId="37" fillId="4" borderId="9" applyAlignment="1" pivotButton="0" quotePrefix="0" xfId="2">
      <alignment horizontal="left" wrapText="1"/>
    </xf>
    <xf numFmtId="0" fontId="16" fillId="4" borderId="4" applyAlignment="1" pivotButton="0" quotePrefix="0" xfId="2">
      <alignment horizontal="left" wrapText="1"/>
    </xf>
    <xf numFmtId="0" fontId="14" fillId="4" borderId="44" applyAlignment="1" pivotButton="0" quotePrefix="0" xfId="0">
      <alignment horizontal="left" wrapText="1"/>
    </xf>
    <xf numFmtId="3" fontId="8" fillId="14" borderId="18" applyAlignment="1" pivotButton="0" quotePrefix="0" xfId="0">
      <alignment horizontal="center"/>
    </xf>
    <xf numFmtId="0" fontId="17" fillId="15" borderId="1" applyAlignment="1" pivotButton="0" quotePrefix="0" xfId="0">
      <alignment horizontal="center"/>
    </xf>
    <xf numFmtId="3" fontId="8" fillId="15" borderId="18" applyAlignment="1" pivotButton="0" quotePrefix="0" xfId="0">
      <alignment horizontal="center"/>
    </xf>
    <xf numFmtId="4" fontId="8" fillId="7" borderId="18" pivotButton="0" quotePrefix="0" xfId="0"/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  <xf numFmtId="0" fontId="8" fillId="6" borderId="9" applyAlignment="1" pivotButton="0" quotePrefix="0" xfId="0">
      <alignment horizontal="left"/>
    </xf>
    <xf numFmtId="0" fontId="8" fillId="6" borderId="4" applyAlignment="1" pivotButton="0" quotePrefix="0" xfId="0">
      <alignment horizontal="left"/>
    </xf>
    <xf numFmtId="0" fontId="8" fillId="6" borderId="29" applyAlignment="1" pivotButton="0" quotePrefix="0" xfId="0">
      <alignment horizontal="left"/>
    </xf>
    <xf numFmtId="0" fontId="8" fillId="6" borderId="24" applyAlignment="1" pivotButton="0" quotePrefix="0" xfId="0">
      <alignment horizontal="left"/>
    </xf>
    <xf numFmtId="0" fontId="17" fillId="6" borderId="19" applyAlignment="1" pivotButton="0" quotePrefix="0" xfId="0">
      <alignment horizontal="left"/>
    </xf>
    <xf numFmtId="0" fontId="17" fillId="6" borderId="24" applyAlignment="1" pivotButton="0" quotePrefix="0" xfId="0">
      <alignment horizontal="left"/>
    </xf>
    <xf numFmtId="0" fontId="17" fillId="6" borderId="1" applyAlignment="1" pivotButton="0" quotePrefix="0" xfId="0">
      <alignment horizontal="left"/>
    </xf>
    <xf numFmtId="0" fontId="8" fillId="6" borderId="47" applyAlignment="1" pivotButton="0" quotePrefix="0" xfId="0">
      <alignment horizontal="left"/>
    </xf>
    <xf numFmtId="0" fontId="17" fillId="0" borderId="36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17" fillId="0" borderId="19" applyAlignment="1" pivotButton="0" quotePrefix="0" xfId="0">
      <alignment horizontal="left"/>
    </xf>
    <xf numFmtId="3" fontId="17" fillId="0" borderId="4" applyAlignment="1" pivotButton="0" quotePrefix="0" xfId="0">
      <alignment horizontal="left"/>
    </xf>
    <xf numFmtId="0" fontId="8" fillId="0" borderId="36" applyAlignment="1" pivotButton="0" quotePrefix="0" xfId="0">
      <alignment horizontal="left"/>
    </xf>
    <xf numFmtId="0" fontId="17" fillId="0" borderId="42" applyAlignment="1" pivotButton="0" quotePrefix="0" xfId="0">
      <alignment horizontal="left"/>
    </xf>
    <xf numFmtId="3" fontId="8" fillId="6" borderId="9" applyAlignment="1" pivotButton="0" quotePrefix="0" xfId="0">
      <alignment horizontal="left"/>
    </xf>
    <xf numFmtId="3" fontId="8" fillId="6" borderId="4" applyAlignment="1" pivotButton="0" quotePrefix="0" xfId="0">
      <alignment horizontal="left"/>
    </xf>
    <xf numFmtId="3" fontId="8" fillId="6" borderId="19" applyAlignment="1" pivotButton="0" quotePrefix="0" xfId="0">
      <alignment horizontal="left"/>
    </xf>
    <xf numFmtId="3" fontId="8" fillId="6" borderId="24" applyAlignment="1" pivotButton="0" quotePrefix="0" xfId="0">
      <alignment horizontal="left"/>
    </xf>
    <xf numFmtId="3" fontId="8" fillId="6" borderId="42" applyAlignment="1" pivotButton="0" quotePrefix="0" xfId="0">
      <alignment horizontal="left"/>
    </xf>
    <xf numFmtId="3" fontId="38" fillId="0" borderId="0" pivotButton="0" quotePrefix="0" xfId="0"/>
    <xf numFmtId="3" fontId="0" fillId="0" borderId="0" applyAlignment="1" pivotButton="0" quotePrefix="0" xfId="0">
      <alignment horizontal="center"/>
    </xf>
    <xf numFmtId="3" fontId="0" fillId="6" borderId="1" applyAlignment="1" pivotButton="0" quotePrefix="0" xfId="0">
      <alignment horizontal="center"/>
    </xf>
    <xf numFmtId="3" fontId="4" fillId="6" borderId="18" applyAlignment="1" pivotButton="0" quotePrefix="0" xfId="0">
      <alignment horizontal="center"/>
    </xf>
    <xf numFmtId="3" fontId="8" fillId="6" borderId="25" applyAlignment="1" pivotButton="0" quotePrefix="0" xfId="0">
      <alignment horizontal="center"/>
    </xf>
    <xf numFmtId="3" fontId="4" fillId="6" borderId="1" applyAlignment="1" pivotButton="0" quotePrefix="0" xfId="0">
      <alignment horizontal="center"/>
    </xf>
    <xf numFmtId="3" fontId="0" fillId="6" borderId="25" applyAlignment="1" pivotButton="0" quotePrefix="0" xfId="0">
      <alignment horizontal="center"/>
    </xf>
    <xf numFmtId="3" fontId="4" fillId="0" borderId="25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3" fontId="8" fillId="9" borderId="1" applyAlignment="1" pivotButton="0" quotePrefix="0" xfId="0">
      <alignment horizontal="center"/>
    </xf>
    <xf numFmtId="3" fontId="8" fillId="9" borderId="18" applyAlignment="1" pivotButton="0" quotePrefix="0" xfId="0">
      <alignment horizontal="center"/>
    </xf>
    <xf numFmtId="3" fontId="8" fillId="7" borderId="25" applyAlignment="1" pivotButton="0" quotePrefix="0" xfId="0">
      <alignment horizontal="center"/>
    </xf>
    <xf numFmtId="3" fontId="4" fillId="7" borderId="18" applyAlignment="1" pivotButton="0" quotePrefix="0" xfId="0">
      <alignment horizontal="center"/>
    </xf>
    <xf numFmtId="3" fontId="8" fillId="8" borderId="25" applyAlignment="1" pivotButton="0" quotePrefix="0" xfId="0">
      <alignment horizontal="center"/>
    </xf>
    <xf numFmtId="3" fontId="4" fillId="7" borderId="1" applyAlignment="1" pivotButton="0" quotePrefix="0" xfId="0">
      <alignment horizontal="center"/>
    </xf>
    <xf numFmtId="3" fontId="8" fillId="7" borderId="18" applyAlignment="1" pivotButton="0" quotePrefix="0" xfId="0">
      <alignment horizontal="center"/>
    </xf>
    <xf numFmtId="3" fontId="8" fillId="11" borderId="1" applyAlignment="1" pivotButton="0" quotePrefix="0" xfId="0">
      <alignment horizontal="center"/>
    </xf>
    <xf numFmtId="3" fontId="4" fillId="6" borderId="25" applyAlignment="1" pivotButton="0" quotePrefix="0" xfId="0">
      <alignment horizontal="center"/>
    </xf>
    <xf numFmtId="3" fontId="4" fillId="6" borderId="34" applyAlignment="1" pivotButton="0" quotePrefix="0" xfId="0">
      <alignment horizontal="center"/>
    </xf>
    <xf numFmtId="0" fontId="33" fillId="16" borderId="1" pivotButton="0" quotePrefix="0" xfId="0"/>
    <xf numFmtId="0" fontId="42" fillId="16" borderId="1" applyAlignment="1" pivotButton="0" quotePrefix="0" xfId="0">
      <alignment horizontal="right"/>
    </xf>
    <xf numFmtId="165" fontId="41" fillId="16" borderId="1" pivotButton="0" quotePrefix="0" xfId="1"/>
    <xf numFmtId="0" fontId="0" fillId="17" borderId="1" applyAlignment="1" pivotButton="0" quotePrefix="0" xfId="0">
      <alignment horizontal="right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6" borderId="4" pivotButton="0" quotePrefix="0" xfId="0"/>
    <xf numFmtId="0" fontId="0" fillId="16" borderId="39" pivotButton="0" quotePrefix="0" xfId="0"/>
    <xf numFmtId="165" fontId="41" fillId="16" borderId="39" pivotButton="0" quotePrefix="0" xfId="1"/>
    <xf numFmtId="0" fontId="7" fillId="16" borderId="39" pivotButton="0" quotePrefix="0" xfId="0"/>
    <xf numFmtId="0" fontId="8" fillId="16" borderId="39" applyAlignment="1" pivotButton="0" quotePrefix="0" xfId="0">
      <alignment horizontal="right"/>
    </xf>
    <xf numFmtId="165" fontId="9" fillId="16" borderId="39" pivotButton="0" quotePrefix="0" xfId="1"/>
    <xf numFmtId="4" fontId="0" fillId="16" borderId="39" pivotButton="0" quotePrefix="0" xfId="0"/>
    <xf numFmtId="3" fontId="0" fillId="16" borderId="39" pivotButton="0" quotePrefix="0" xfId="0"/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 wrapText="1"/>
    </xf>
    <xf numFmtId="0" fontId="44" fillId="0" borderId="0" pivotButton="0" quotePrefix="0" xfId="0"/>
    <xf numFmtId="14" fontId="0" fillId="0" borderId="0" pivotButton="0" quotePrefix="0" xfId="0"/>
    <xf numFmtId="4" fontId="8" fillId="0" borderId="18" pivotButton="0" quotePrefix="0" xfId="0"/>
    <xf numFmtId="4" fontId="8" fillId="0" borderId="1" pivotButton="0" quotePrefix="0" xfId="0"/>
    <xf numFmtId="4" fontId="8" fillId="0" borderId="25" pivotButton="0" quotePrefix="0" xfId="0"/>
    <xf numFmtId="4" fontId="13" fillId="6" borderId="10" pivotButton="0" quotePrefix="0" xfId="0"/>
    <xf numFmtId="4" fontId="13" fillId="0" borderId="14" pivotButton="0" quotePrefix="0" xfId="0"/>
    <xf numFmtId="166" fontId="0" fillId="0" borderId="0" pivotButton="0" quotePrefix="0" xfId="0"/>
    <xf numFmtId="4" fontId="2" fillId="0" borderId="0" applyAlignment="1" pivotButton="0" quotePrefix="0" xfId="0">
      <alignment horizontal="center"/>
    </xf>
    <xf numFmtId="4" fontId="2" fillId="0" borderId="0" pivotButton="0" quotePrefix="0" xfId="0"/>
    <xf numFmtId="0" fontId="45" fillId="0" borderId="0" pivotButton="0" quotePrefix="0" xfId="0"/>
    <xf numFmtId="4" fontId="34" fillId="6" borderId="25" pivotButton="0" quotePrefix="0" xfId="0"/>
    <xf numFmtId="0" fontId="15" fillId="0" borderId="1" pivotButton="0" quotePrefix="0" xfId="2"/>
    <xf numFmtId="4" fontId="0" fillId="16" borderId="5" pivotButton="0" quotePrefix="0" xfId="0"/>
    <xf numFmtId="4" fontId="13" fillId="6" borderId="14" pivotButton="0" quotePrefix="0" xfId="0"/>
    <xf numFmtId="4" fontId="13" fillId="6" borderId="20" pivotButton="0" quotePrefix="0" xfId="0"/>
    <xf numFmtId="4" fontId="13" fillId="6" borderId="26" pivotButton="0" quotePrefix="0" xfId="0"/>
    <xf numFmtId="4" fontId="13" fillId="6" borderId="35" pivotButton="0" quotePrefix="0" xfId="0"/>
    <xf numFmtId="4" fontId="13" fillId="0" borderId="26" pivotButton="0" quotePrefix="0" xfId="0"/>
    <xf numFmtId="4" fontId="13" fillId="0" borderId="20" pivotButton="0" quotePrefix="0" xfId="0"/>
    <xf numFmtId="4" fontId="13" fillId="0" borderId="35" pivotButton="0" quotePrefix="0" xfId="0"/>
    <xf numFmtId="4" fontId="13" fillId="6" borderId="43" pivotButton="0" quotePrefix="0" xfId="0"/>
    <xf numFmtId="14" fontId="43" fillId="16" borderId="1" pivotButton="0" quotePrefix="0" xfId="0"/>
    <xf numFmtId="14" fontId="3" fillId="0" borderId="0" pivotButton="0" quotePrefix="0" xfId="0"/>
    <xf numFmtId="14" fontId="0" fillId="17" borderId="1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/>
    </xf>
    <xf numFmtId="0" fontId="8" fillId="0" borderId="30" applyAlignment="1" pivotButton="0" quotePrefix="0" xfId="0">
      <alignment horizontal="center"/>
    </xf>
    <xf numFmtId="0" fontId="3" fillId="4" borderId="1" applyAlignment="1" pivotButton="0" quotePrefix="0" xfId="0">
      <alignment horizontal="center" wrapText="1"/>
    </xf>
    <xf numFmtId="0" fontId="17" fillId="12" borderId="1" applyAlignment="1" pivotButton="0" quotePrefix="0" xfId="0">
      <alignment horizontal="center"/>
    </xf>
    <xf numFmtId="0" fontId="17" fillId="13" borderId="1" applyAlignment="1" pivotButton="0" quotePrefix="0" xfId="0">
      <alignment horizontal="center"/>
    </xf>
    <xf numFmtId="0" fontId="17" fillId="19" borderId="23" applyAlignment="1" pivotButton="0" quotePrefix="0" xfId="0">
      <alignment horizontal="center"/>
    </xf>
    <xf numFmtId="4" fontId="34" fillId="0" borderId="1" pivotButton="0" quotePrefix="0" xfId="0"/>
    <xf numFmtId="165" fontId="41" fillId="0" borderId="1" pivotButton="0" quotePrefix="0" xfId="1"/>
    <xf numFmtId="16" fontId="0" fillId="0" borderId="0" pivotButton="0" quotePrefix="0" xfId="0"/>
    <xf numFmtId="0" fontId="15" fillId="0" borderId="4" pivotButton="0" quotePrefix="0" xfId="2"/>
    <xf numFmtId="0" fontId="38" fillId="0" borderId="0" pivotButton="0" quotePrefix="0" xfId="0"/>
    <xf numFmtId="4" fontId="0" fillId="6" borderId="8" pivotButton="0" quotePrefix="0" xfId="0"/>
    <xf numFmtId="4" fontId="0" fillId="6" borderId="34" pivotButton="0" quotePrefix="0" xfId="0"/>
    <xf numFmtId="4" fontId="0" fillId="0" borderId="25" pivotButton="0" quotePrefix="0" xfId="0"/>
    <xf numFmtId="4" fontId="0" fillId="0" borderId="1" pivotButton="0" quotePrefix="0" xfId="0"/>
    <xf numFmtId="4" fontId="0" fillId="0" borderId="18" pivotButton="0" quotePrefix="0" xfId="0"/>
    <xf numFmtId="4" fontId="0" fillId="0" borderId="34" pivotButton="0" quotePrefix="0" xfId="0"/>
    <xf numFmtId="4" fontId="23" fillId="0" borderId="0" pivotButton="0" quotePrefix="0" xfId="0"/>
    <xf numFmtId="4" fontId="17" fillId="0" borderId="0" applyAlignment="1" pivotButton="0" quotePrefix="0" xfId="0">
      <alignment horizontal="center"/>
    </xf>
    <xf numFmtId="4" fontId="7" fillId="6" borderId="8" pivotButton="0" quotePrefix="0" xfId="0"/>
    <xf numFmtId="4" fontId="7" fillId="6" borderId="1" pivotButton="0" quotePrefix="0" xfId="0"/>
    <xf numFmtId="4" fontId="7" fillId="6" borderId="18" pivotButton="0" quotePrefix="0" xfId="0"/>
    <xf numFmtId="4" fontId="7" fillId="6" borderId="25" pivotButton="0" quotePrefix="0" xfId="0"/>
    <xf numFmtId="4" fontId="7" fillId="6" borderId="34" pivotButton="0" quotePrefix="0" xfId="0"/>
    <xf numFmtId="4" fontId="7" fillId="0" borderId="25" pivotButton="0" quotePrefix="0" xfId="0"/>
    <xf numFmtId="4" fontId="7" fillId="0" borderId="1" pivotButton="0" quotePrefix="0" xfId="0"/>
    <xf numFmtId="4" fontId="7" fillId="0" borderId="18" pivotButton="0" quotePrefix="0" xfId="0"/>
    <xf numFmtId="4" fontId="7" fillId="0" borderId="34" pivotButton="0" quotePrefix="0" xfId="0"/>
    <xf numFmtId="49" fontId="31" fillId="4" borderId="1" applyAlignment="1" pivotButton="0" quotePrefix="0" xfId="0">
      <alignment horizontal="center" wrapText="1"/>
    </xf>
    <xf numFmtId="0" fontId="31" fillId="4" borderId="4" applyAlignment="1" pivotButton="0" quotePrefix="0" xfId="0">
      <alignment horizontal="left" wrapText="1"/>
    </xf>
    <xf numFmtId="0" fontId="31" fillId="0" borderId="4" pivotButton="0" quotePrefix="0" xfId="0"/>
    <xf numFmtId="0" fontId="38" fillId="0" borderId="12" pivotButton="0" quotePrefix="0" xfId="0"/>
    <xf numFmtId="0" fontId="38" fillId="0" borderId="1" pivotButton="0" quotePrefix="0" xfId="0"/>
    <xf numFmtId="4" fontId="8" fillId="0" borderId="34" pivotButton="0" quotePrefix="0" xfId="0"/>
    <xf numFmtId="0" fontId="8" fillId="4" borderId="42" applyAlignment="1" pivotButton="0" quotePrefix="0" xfId="0">
      <alignment horizontal="left"/>
    </xf>
    <xf numFmtId="4" fontId="34" fillId="0" borderId="34" pivotButton="0" quotePrefix="0" xfId="0"/>
    <xf numFmtId="0" fontId="31" fillId="0" borderId="0" pivotButton="0" quotePrefix="0" xfId="0"/>
    <xf numFmtId="0" fontId="46" fillId="0" borderId="0" pivotButton="0" quotePrefix="0" xfId="0"/>
    <xf numFmtId="166" fontId="0" fillId="0" borderId="4" applyAlignment="1" pivotButton="0" quotePrefix="0" xfId="0">
      <alignment vertical="center" wrapText="1"/>
    </xf>
    <xf numFmtId="166" fontId="4" fillId="6" borderId="9" pivotButton="0" quotePrefix="0" xfId="0"/>
    <xf numFmtId="166" fontId="4" fillId="6" borderId="4" pivotButton="0" quotePrefix="0" xfId="0"/>
    <xf numFmtId="166" fontId="4" fillId="6" borderId="19" pivotButton="0" quotePrefix="0" xfId="0"/>
    <xf numFmtId="166" fontId="4" fillId="6" borderId="36" pivotButton="0" quotePrefix="0" xfId="0"/>
    <xf numFmtId="166" fontId="4" fillId="6" borderId="42" pivotButton="0" quotePrefix="0" xfId="0"/>
    <xf numFmtId="166" fontId="4" fillId="0" borderId="36" pivotButton="0" quotePrefix="0" xfId="0"/>
    <xf numFmtId="166" fontId="4" fillId="0" borderId="4" pivotButton="0" quotePrefix="0" xfId="0"/>
    <xf numFmtId="166" fontId="4" fillId="0" borderId="19" pivotButton="0" quotePrefix="0" xfId="0"/>
    <xf numFmtId="166" fontId="4" fillId="0" borderId="42" pivotButton="0" quotePrefix="0" xfId="0"/>
    <xf numFmtId="166" fontId="4" fillId="6" borderId="24" pivotButton="0" quotePrefix="0" xfId="0"/>
    <xf numFmtId="167" fontId="0" fillId="0" borderId="1" applyAlignment="1" pivotButton="0" quotePrefix="0" xfId="0">
      <alignment vertical="center" wrapText="1"/>
    </xf>
    <xf numFmtId="167" fontId="0" fillId="0" borderId="0" pivotButton="0" quotePrefix="0" xfId="0"/>
    <xf numFmtId="167" fontId="7" fillId="6" borderId="8" pivotButton="0" quotePrefix="0" xfId="0"/>
    <xf numFmtId="167" fontId="7" fillId="6" borderId="1" pivotButton="0" quotePrefix="0" xfId="0"/>
    <xf numFmtId="167" fontId="7" fillId="6" borderId="18" pivotButton="0" quotePrefix="0" xfId="0"/>
    <xf numFmtId="167" fontId="7" fillId="6" borderId="25" pivotButton="0" quotePrefix="0" xfId="0"/>
    <xf numFmtId="167" fontId="7" fillId="6" borderId="34" pivotButton="0" quotePrefix="0" xfId="0"/>
    <xf numFmtId="167" fontId="7" fillId="0" borderId="25" pivotButton="0" quotePrefix="0" xfId="0"/>
    <xf numFmtId="167" fontId="7" fillId="0" borderId="1" pivotButton="0" quotePrefix="0" xfId="0"/>
    <xf numFmtId="167" fontId="7" fillId="0" borderId="18" pivotButton="0" quotePrefix="0" xfId="0"/>
    <xf numFmtId="167" fontId="7" fillId="0" borderId="34" pivotButton="0" quotePrefix="0" xfId="0"/>
    <xf numFmtId="168" fontId="28" fillId="0" borderId="1" applyAlignment="1" pivotButton="0" quotePrefix="0" xfId="0">
      <alignment horizontal="center"/>
    </xf>
    <xf numFmtId="4" fontId="0" fillId="0" borderId="0" applyAlignment="1" pivotButton="0" quotePrefix="0" xfId="0">
      <alignment horizontal="center" vertical="center" wrapText="1"/>
    </xf>
    <xf numFmtId="166" fontId="34" fillId="6" borderId="4" pivotButton="0" quotePrefix="0" xfId="0"/>
    <xf numFmtId="0" fontId="15" fillId="0" borderId="1" pivotButton="0" quotePrefix="0" xfId="2"/>
    <xf numFmtId="3" fontId="0" fillId="18" borderId="1" applyAlignment="1" pivotButton="0" quotePrefix="0" xfId="0">
      <alignment horizontal="center"/>
    </xf>
    <xf numFmtId="3" fontId="34" fillId="18" borderId="1" applyAlignment="1" pivotButton="0" quotePrefix="0" xfId="0">
      <alignment horizontal="center"/>
    </xf>
    <xf numFmtId="3" fontId="0" fillId="18" borderId="18" applyAlignment="1" pivotButton="0" quotePrefix="0" xfId="0">
      <alignment horizontal="center"/>
    </xf>
    <xf numFmtId="3" fontId="8" fillId="18" borderId="18" applyAlignment="1" pivotButton="0" quotePrefix="0" xfId="0">
      <alignment horizontal="center"/>
    </xf>
    <xf numFmtId="3" fontId="8" fillId="18" borderId="1" applyAlignment="1" pivotButton="0" quotePrefix="0" xfId="0">
      <alignment horizontal="center"/>
    </xf>
    <xf numFmtId="0" fontId="49" fillId="4" borderId="15" applyAlignment="1" pivotButton="0" quotePrefix="0" xfId="0">
      <alignment horizontal="left" wrapText="1"/>
    </xf>
    <xf numFmtId="4" fontId="34" fillId="0" borderId="18" pivotButton="0" quotePrefix="0" xfId="0"/>
    <xf numFmtId="14" fontId="8" fillId="0" borderId="1" pivotButton="0" quotePrefix="0" xfId="0"/>
    <xf numFmtId="14" fontId="0" fillId="0" borderId="1" pivotButton="0" quotePrefix="0" xfId="0"/>
    <xf numFmtId="0" fontId="3" fillId="0" borderId="4" pivotButton="0" quotePrefix="0" xfId="0"/>
    <xf numFmtId="14" fontId="3" fillId="0" borderId="1" pivotButton="0" quotePrefix="0" xfId="0"/>
    <xf numFmtId="0" fontId="19" fillId="0" borderId="1" pivotButton="0" quotePrefix="0" xfId="0"/>
    <xf numFmtId="14" fontId="19" fillId="0" borderId="1" pivotButton="0" quotePrefix="0" xfId="0"/>
    <xf numFmtId="0" fontId="34" fillId="0" borderId="4" pivotButton="0" quotePrefix="0" xfId="0"/>
    <xf numFmtId="0" fontId="19" fillId="0" borderId="1" applyAlignment="1" pivotButton="0" quotePrefix="0" xfId="0">
      <alignment horizontal="center"/>
    </xf>
    <xf numFmtId="14" fontId="34" fillId="0" borderId="1" pivotButton="0" quotePrefix="0" xfId="0"/>
    <xf numFmtId="0" fontId="34" fillId="0" borderId="1" pivotButton="0" quotePrefix="0" xfId="0"/>
    <xf numFmtId="3" fontId="34" fillId="6" borderId="1" applyAlignment="1" pivotButton="0" quotePrefix="0" xfId="0">
      <alignment horizontal="center"/>
    </xf>
    <xf numFmtId="4" fontId="4" fillId="6" borderId="19" pivotButton="0" quotePrefix="0" xfId="0"/>
    <xf numFmtId="167" fontId="0" fillId="6" borderId="1" pivotButton="0" quotePrefix="0" xfId="0"/>
    <xf numFmtId="0" fontId="50" fillId="0" borderId="0" pivotButton="0" quotePrefix="0" xfId="0"/>
    <xf numFmtId="0" fontId="8" fillId="10" borderId="21" applyAlignment="1" pivotButton="0" quotePrefix="0" xfId="0">
      <alignment horizontal="center"/>
    </xf>
    <xf numFmtId="0" fontId="8" fillId="18" borderId="22" applyAlignment="1" pivotButton="0" quotePrefix="0" xfId="0">
      <alignment horizontal="center"/>
    </xf>
    <xf numFmtId="0" fontId="17" fillId="18" borderId="23" applyAlignment="1" pivotButton="0" quotePrefix="0" xfId="0">
      <alignment horizontal="center"/>
    </xf>
    <xf numFmtId="0" fontId="8" fillId="18" borderId="1" applyAlignment="1" pivotButton="0" quotePrefix="0" xfId="0">
      <alignment horizontal="center"/>
    </xf>
    <xf numFmtId="3" fontId="8" fillId="18" borderId="24" applyAlignment="1" pivotButton="0" quotePrefix="0" xfId="0">
      <alignment horizontal="center"/>
    </xf>
    <xf numFmtId="3" fontId="0" fillId="18" borderId="25" pivotButton="0" quotePrefix="0" xfId="0"/>
    <xf numFmtId="3" fontId="17" fillId="21" borderId="19" applyAlignment="1" pivotButton="0" quotePrefix="0" xfId="0">
      <alignment horizontal="center"/>
    </xf>
    <xf numFmtId="3" fontId="8" fillId="21" borderId="4" applyAlignment="1" pivotButton="0" quotePrefix="0" xfId="0">
      <alignment horizontal="center"/>
    </xf>
    <xf numFmtId="3" fontId="17" fillId="21" borderId="1" applyAlignment="1" pivotButton="0" quotePrefix="0" xfId="0">
      <alignment horizontal="center"/>
    </xf>
    <xf numFmtId="3" fontId="17" fillId="22" borderId="36" applyAlignment="1" pivotButton="0" quotePrefix="0" xfId="0">
      <alignment horizontal="center"/>
    </xf>
    <xf numFmtId="3" fontId="8" fillId="22" borderId="4" applyAlignment="1" pivotButton="0" quotePrefix="0" xfId="0">
      <alignment horizontal="center"/>
    </xf>
    <xf numFmtId="3" fontId="17" fillId="21" borderId="24" applyAlignment="1" pivotButton="0" quotePrefix="0" xfId="0">
      <alignment horizontal="center"/>
    </xf>
    <xf numFmtId="0" fontId="51" fillId="0" borderId="4" pivotButton="0" quotePrefix="0" xfId="0"/>
    <xf numFmtId="0" fontId="8" fillId="0" borderId="1" applyAlignment="1" pivotButton="0" quotePrefix="0" xfId="0">
      <alignment horizontal="left" wrapText="1"/>
    </xf>
    <xf numFmtId="4" fontId="0" fillId="0" borderId="1" applyAlignment="1" pivotButton="0" quotePrefix="0" xfId="0">
      <alignment horizontal="center" vertical="center" wrapText="1"/>
    </xf>
    <xf numFmtId="0" fontId="32" fillId="0" borderId="0" pivotButton="0" quotePrefix="0" xfId="0"/>
    <xf numFmtId="169" fontId="0" fillId="0" borderId="0" applyAlignment="1" pivotButton="0" quotePrefix="0" xfId="1">
      <alignment horizontal="center"/>
    </xf>
    <xf numFmtId="0" fontId="32" fillId="0" borderId="0" applyAlignment="1" pivotButton="0" quotePrefix="0" xfId="0">
      <alignment horizontal="center"/>
    </xf>
    <xf numFmtId="0" fontId="32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69" fontId="0" fillId="0" borderId="1" applyAlignment="1" pivotButton="0" quotePrefix="0" xfId="1">
      <alignment horizontal="center" vertical="center"/>
    </xf>
    <xf numFmtId="4" fontId="0" fillId="0" borderId="0" applyAlignment="1" pivotButton="0" quotePrefix="0" xfId="0">
      <alignment horizontal="left" vertical="center" wrapText="1"/>
    </xf>
    <xf numFmtId="0" fontId="14" fillId="4" borderId="48" applyAlignment="1" pivotButton="0" quotePrefix="0" xfId="0">
      <alignment horizontal="left" wrapText="1"/>
    </xf>
    <xf numFmtId="3" fontId="8" fillId="0" borderId="36" applyAlignment="1" pivotButton="0" quotePrefix="0" xfId="0">
      <alignment horizontal="center"/>
    </xf>
    <xf numFmtId="4" fontId="0" fillId="0" borderId="2" applyAlignment="1" pivotButton="0" quotePrefix="0" xfId="0">
      <alignment horizontal="center"/>
    </xf>
    <xf numFmtId="169" fontId="0" fillId="0" borderId="25" applyAlignment="1" pivotButton="0" quotePrefix="0" xfId="1">
      <alignment horizontal="center"/>
    </xf>
    <xf numFmtId="4" fontId="0" fillId="0" borderId="5" applyAlignment="1" pivotButton="0" quotePrefix="0" xfId="0">
      <alignment horizontal="center"/>
    </xf>
    <xf numFmtId="4" fontId="27" fillId="0" borderId="5" applyAlignment="1" pivotButton="0" quotePrefix="0" xfId="0">
      <alignment horizontal="center"/>
    </xf>
    <xf numFmtId="4" fontId="32" fillId="0" borderId="1" applyAlignment="1" pivotButton="0" quotePrefix="0" xfId="0">
      <alignment horizontal="center"/>
    </xf>
    <xf numFmtId="4" fontId="0" fillId="0" borderId="0" applyAlignment="1" pivotButton="0" quotePrefix="0" xfId="0">
      <alignment horizontal="left"/>
    </xf>
    <xf numFmtId="4" fontId="27" fillId="0" borderId="0" applyAlignment="1" pivotButton="0" quotePrefix="0" xfId="0">
      <alignment horizontal="left"/>
    </xf>
    <xf numFmtId="169" fontId="0" fillId="0" borderId="5" applyAlignment="1" pivotButton="0" quotePrefix="0" xfId="1">
      <alignment horizontal="center"/>
    </xf>
    <xf numFmtId="4" fontId="0" fillId="10" borderId="5" applyAlignment="1" pivotButton="0" quotePrefix="0" xfId="0">
      <alignment horizontal="center"/>
    </xf>
    <xf numFmtId="4" fontId="32" fillId="0" borderId="5" applyAlignment="1" pivotButton="0" quotePrefix="0" xfId="0">
      <alignment horizontal="center"/>
    </xf>
    <xf numFmtId="4" fontId="52" fillId="0" borderId="5" applyAlignment="1" pivotButton="0" quotePrefix="0" xfId="0">
      <alignment horizontal="center"/>
    </xf>
    <xf numFmtId="4" fontId="54" fillId="0" borderId="5" applyAlignment="1" pivotButton="0" quotePrefix="0" xfId="0">
      <alignment horizontal="center"/>
    </xf>
    <xf numFmtId="4" fontId="52" fillId="0" borderId="1" applyAlignment="1" pivotButton="0" quotePrefix="0" xfId="0">
      <alignment horizontal="center"/>
    </xf>
    <xf numFmtId="4" fontId="52" fillId="0" borderId="0" applyAlignment="1" pivotButton="0" quotePrefix="0" xfId="0">
      <alignment horizontal="left"/>
    </xf>
    <xf numFmtId="4" fontId="54" fillId="0" borderId="0" applyAlignment="1" pivotButton="0" quotePrefix="0" xfId="0">
      <alignment horizontal="left"/>
    </xf>
    <xf numFmtId="4" fontId="55" fillId="0" borderId="5" applyAlignment="1" pivotButton="0" quotePrefix="0" xfId="0">
      <alignment horizontal="center"/>
    </xf>
    <xf numFmtId="169" fontId="56" fillId="0" borderId="5" applyAlignment="1" pivotButton="0" quotePrefix="0" xfId="1">
      <alignment horizontal="center"/>
    </xf>
    <xf numFmtId="4" fontId="32" fillId="0" borderId="0" applyAlignment="1" pivotButton="0" quotePrefix="0" xfId="0">
      <alignment horizontal="left"/>
    </xf>
    <xf numFmtId="4" fontId="57" fillId="0" borderId="5" applyAlignment="1" pivotButton="0" quotePrefix="0" xfId="0">
      <alignment horizontal="center"/>
    </xf>
    <xf numFmtId="169" fontId="58" fillId="0" borderId="5" applyAlignment="1" pivotButton="0" quotePrefix="0" xfId="1">
      <alignment horizontal="center"/>
    </xf>
    <xf numFmtId="169" fontId="32" fillId="0" borderId="5" applyAlignment="1" pivotButton="0" quotePrefix="0" xfId="1">
      <alignment horizontal="center"/>
    </xf>
    <xf numFmtId="3" fontId="17" fillId="0" borderId="24" applyAlignment="1" pivotButton="0" quotePrefix="0" xfId="0">
      <alignment horizontal="center"/>
    </xf>
    <xf numFmtId="2" fontId="53" fillId="0" borderId="0" pivotButton="0" quotePrefix="0" xfId="0"/>
    <xf numFmtId="4" fontId="3" fillId="0" borderId="1" applyAlignment="1" pivotButton="0" quotePrefix="0" xfId="0">
      <alignment horizontal="center"/>
    </xf>
    <xf numFmtId="4" fontId="52" fillId="0" borderId="0" applyAlignment="1" pivotButton="0" quotePrefix="0" xfId="0">
      <alignment horizontal="center"/>
    </xf>
    <xf numFmtId="4" fontId="38" fillId="0" borderId="0" pivotButton="0" quotePrefix="0" xfId="0"/>
    <xf numFmtId="4" fontId="0" fillId="0" borderId="0" applyAlignment="1" pivotButton="0" quotePrefix="0" xfId="1">
      <alignment horizontal="center"/>
    </xf>
    <xf numFmtId="4" fontId="0" fillId="0" borderId="1" applyAlignment="1" pivotButton="0" quotePrefix="0" xfId="0">
      <alignment horizontal="center" vertical="center"/>
    </xf>
    <xf numFmtId="4" fontId="0" fillId="0" borderId="1" applyAlignment="1" pivotButton="0" quotePrefix="0" xfId="1">
      <alignment horizontal="center" vertical="center"/>
    </xf>
    <xf numFmtId="4" fontId="0" fillId="0" borderId="2" applyAlignment="1" pivotButton="0" quotePrefix="0" xfId="1">
      <alignment horizontal="center"/>
    </xf>
    <xf numFmtId="4" fontId="0" fillId="0" borderId="5" applyAlignment="1" pivotButton="0" quotePrefix="0" xfId="1">
      <alignment horizontal="center"/>
    </xf>
    <xf numFmtId="4" fontId="38" fillId="0" borderId="0" applyAlignment="1" pivotButton="0" quotePrefix="0" xfId="0">
      <alignment horizontal="center"/>
    </xf>
    <xf numFmtId="4" fontId="28" fillId="0" borderId="0" applyAlignment="1" pivotButton="0" quotePrefix="0" xfId="0">
      <alignment horizontal="center"/>
    </xf>
    <xf numFmtId="14" fontId="32" fillId="0" borderId="1" applyAlignment="1" pivotButton="0" quotePrefix="0" xfId="0">
      <alignment horizontal="center"/>
    </xf>
    <xf numFmtId="16" fontId="32" fillId="0" borderId="1" applyAlignment="1" pivotButton="0" quotePrefix="0" xfId="0">
      <alignment horizontal="center"/>
    </xf>
    <xf numFmtId="14" fontId="0" fillId="10" borderId="1" pivotButton="0" quotePrefix="0" xfId="0"/>
    <xf numFmtId="0" fontId="59" fillId="23" borderId="0" pivotButton="0" quotePrefix="0" xfId="0"/>
    <xf numFmtId="4" fontId="8" fillId="18" borderId="1" pivotButton="0" quotePrefix="0" xfId="0"/>
    <xf numFmtId="4" fontId="32" fillId="0" borderId="0" applyAlignment="1" pivotButton="0" quotePrefix="0" xfId="0">
      <alignment horizontal="center"/>
    </xf>
    <xf numFmtId="4" fontId="3" fillId="0" borderId="0" applyAlignment="1" pivotButton="0" quotePrefix="0" xfId="0">
      <alignment horizontal="left"/>
    </xf>
    <xf numFmtId="17" fontId="0" fillId="0" borderId="0" pivotButton="0" quotePrefix="0" xfId="0"/>
    <xf numFmtId="1" fontId="60" fillId="0" borderId="0" applyAlignment="1" pivotButton="0" quotePrefix="0" xfId="0">
      <alignment horizontal="center"/>
    </xf>
    <xf numFmtId="14" fontId="39" fillId="16" borderId="0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left" vertical="top"/>
    </xf>
    <xf numFmtId="0" fontId="38" fillId="16" borderId="4" applyAlignment="1" pivotButton="0" quotePrefix="0" xfId="0">
      <alignment horizontal="left"/>
    </xf>
    <xf numFmtId="0" fontId="38" fillId="16" borderId="39" applyAlignment="1" pivotButton="0" quotePrefix="0" xfId="0">
      <alignment horizontal="left"/>
    </xf>
    <xf numFmtId="0" fontId="38" fillId="16" borderId="5" applyAlignment="1" pivotButton="0" quotePrefix="0" xfId="0">
      <alignment horizontal="left"/>
    </xf>
    <xf numFmtId="0" fontId="0" fillId="12" borderId="28" applyAlignment="1" pivotButton="0" quotePrefix="0" xfId="0">
      <alignment horizontal="center" vertical="center"/>
    </xf>
    <xf numFmtId="0" fontId="0" fillId="12" borderId="25" applyAlignment="1" pivotButton="0" quotePrefix="0" xfId="0">
      <alignment horizontal="center" vertical="center"/>
    </xf>
    <xf numFmtId="170" fontId="48" fillId="20" borderId="46" applyAlignment="1" pivotButton="0" quotePrefix="0" xfId="0">
      <alignment horizontal="right"/>
    </xf>
    <xf numFmtId="0" fontId="0" fillId="12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7" fillId="17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/>
    </xf>
    <xf numFmtId="3" fontId="0" fillId="0" borderId="4" applyAlignment="1" pivotButton="0" quotePrefix="0" xfId="0">
      <alignment horizontal="center" vertical="center" wrapText="1"/>
    </xf>
    <xf numFmtId="3" fontId="0" fillId="0" borderId="39" applyAlignment="1" pivotButton="0" quotePrefix="0" xfId="0">
      <alignment horizontal="center" vertical="center" wrapText="1"/>
    </xf>
    <xf numFmtId="3" fontId="0" fillId="0" borderId="5" applyAlignment="1" pivotButton="0" quotePrefix="0" xfId="0">
      <alignment horizontal="center" vertical="center" wrapText="1"/>
    </xf>
    <xf numFmtId="4" fontId="0" fillId="0" borderId="4" applyAlignment="1" pivotButton="0" quotePrefix="0" xfId="0">
      <alignment horizontal="center" vertical="center" wrapText="1"/>
    </xf>
    <xf numFmtId="4" fontId="0" fillId="0" borderId="39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14" fontId="39" fillId="16" borderId="0" applyAlignment="1" pivotButton="0" quotePrefix="0" xfId="0">
      <alignment horizontal="right" vertical="center"/>
    </xf>
    <xf numFmtId="0" fontId="0" fillId="0" borderId="5" applyAlignment="1" pivotButton="0" quotePrefix="0" xfId="0">
      <alignment horizontal="center"/>
    </xf>
    <xf numFmtId="14" fontId="39" fillId="16" borderId="0" applyAlignment="1" pivotButton="0" quotePrefix="0" xfId="0">
      <alignment horizontal="center" vertical="center"/>
    </xf>
    <xf numFmtId="4" fontId="0" fillId="0" borderId="28" applyAlignment="1" pivotButton="0" quotePrefix="0" xfId="0">
      <alignment horizontal="center" vertical="center" wrapText="1"/>
    </xf>
    <xf numFmtId="4" fontId="0" fillId="0" borderId="25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/>
    </xf>
    <xf numFmtId="0" fontId="8" fillId="0" borderId="39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29" applyAlignment="1" pivotButton="0" quotePrefix="0" xfId="0">
      <alignment horizontal="center" vertical="center" wrapText="1"/>
    </xf>
    <xf numFmtId="0" fontId="7" fillId="0" borderId="45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38" applyAlignment="1" pivotButton="0" quotePrefix="0" xfId="0">
      <alignment horizontal="center" vertical="center" wrapText="1"/>
    </xf>
    <xf numFmtId="0" fontId="7" fillId="0" borderId="36" applyAlignment="1" pivotButton="0" quotePrefix="0" xfId="0">
      <alignment horizontal="center" vertical="center" wrapText="1"/>
    </xf>
    <xf numFmtId="0" fontId="7" fillId="0" borderId="46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40" fillId="16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3" fontId="0" fillId="0" borderId="2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3" fontId="0" fillId="0" borderId="28" applyAlignment="1" pivotButton="0" quotePrefix="0" xfId="0">
      <alignment horizontal="center" vertical="center" wrapText="1"/>
    </xf>
    <xf numFmtId="0" fontId="52" fillId="0" borderId="28" applyAlignment="1" pivotButton="0" quotePrefix="0" xfId="0">
      <alignment horizontal="center"/>
    </xf>
    <xf numFmtId="0" fontId="52" fillId="0" borderId="25" applyAlignment="1" pivotButton="0" quotePrefix="0" xfId="0">
      <alignment horizontal="center"/>
    </xf>
    <xf numFmtId="0" fontId="32" fillId="0" borderId="28" applyAlignment="1" pivotButton="0" quotePrefix="0" xfId="0">
      <alignment horizontal="center"/>
    </xf>
    <xf numFmtId="0" fontId="32" fillId="0" borderId="25" applyAlignment="1" pivotButton="0" quotePrefix="0" xfId="0">
      <alignment horizontal="center"/>
    </xf>
    <xf numFmtId="0" fontId="28" fillId="0" borderId="1" applyAlignment="1" pivotButton="0" quotePrefix="0" xfId="0">
      <alignment horizontal="center" vertical="center"/>
    </xf>
    <xf numFmtId="4" fontId="38" fillId="24" borderId="28" applyAlignment="1" pivotButton="0" quotePrefix="0" xfId="0">
      <alignment horizontal="center" vertical="center" wrapText="1"/>
    </xf>
    <xf numFmtId="4" fontId="38" fillId="25" borderId="28" applyAlignment="1" pivotButton="0" quotePrefix="0" xfId="0">
      <alignment horizontal="center" vertical="center" wrapText="1"/>
    </xf>
    <xf numFmtId="4" fontId="38" fillId="24" borderId="25" applyAlignment="1" pivotButton="0" quotePrefix="0" xfId="0">
      <alignment horizontal="center" vertical="center" wrapText="1"/>
    </xf>
    <xf numFmtId="4" fontId="38" fillId="25" borderId="25" applyAlignment="1" pivotButton="0" quotePrefix="0" xfId="0">
      <alignment horizontal="center" vertical="center" wrapText="1"/>
    </xf>
    <xf numFmtId="166" fontId="0" fillId="7" borderId="0" pivotButton="0" quotePrefix="0" xfId="0"/>
    <xf numFmtId="3" fontId="8" fillId="26" borderId="49" applyAlignment="1" pivotButton="0" quotePrefix="0" xfId="0">
      <alignment horizontal="center"/>
    </xf>
    <xf numFmtId="3" fontId="8" fillId="15" borderId="49" applyAlignment="1" pivotButton="0" quotePrefix="0" xfId="0">
      <alignment horizontal="center"/>
    </xf>
    <xf numFmtId="3" fontId="8" fillId="26" borderId="4" applyAlignment="1" pivotButton="0" quotePrefix="0" xfId="0">
      <alignment horizontal="center"/>
    </xf>
    <xf numFmtId="3" fontId="8" fillId="15" borderId="4" applyAlignment="1" pivotButton="0" quotePrefix="0" xfId="0">
      <alignment horizontal="center"/>
    </xf>
    <xf numFmtId="3" fontId="8" fillId="26" borderId="19" applyAlignment="1" pivotButton="0" quotePrefix="0" xfId="0">
      <alignment horizontal="center"/>
    </xf>
    <xf numFmtId="3" fontId="8" fillId="15" borderId="19" applyAlignment="1" pivotButton="0" quotePrefix="0" xfId="0">
      <alignment horizontal="center"/>
    </xf>
    <xf numFmtId="3" fontId="8" fillId="26" borderId="36" applyAlignment="1" pivotButton="0" quotePrefix="0" xfId="0">
      <alignment horizontal="center"/>
    </xf>
    <xf numFmtId="3" fontId="8" fillId="15" borderId="36" applyAlignment="1" pivotButton="0" quotePrefix="0" xfId="0">
      <alignment horizontal="center"/>
    </xf>
    <xf numFmtId="3" fontId="8" fillId="26" borderId="42" applyAlignment="1" pivotButton="0" quotePrefix="0" xfId="0">
      <alignment horizontal="center"/>
    </xf>
    <xf numFmtId="3" fontId="8" fillId="15" borderId="42" applyAlignment="1" pivotButton="0" quotePrefix="0" xfId="0">
      <alignment horizontal="center"/>
    </xf>
    <xf numFmtId="3" fontId="8" fillId="24" borderId="36" applyAlignment="1" pivotButton="0" quotePrefix="0" xfId="0">
      <alignment horizontal="center"/>
    </xf>
    <xf numFmtId="3" fontId="8" fillId="25" borderId="36" applyAlignment="1" pivotButton="0" quotePrefix="0" xfId="0">
      <alignment horizontal="center"/>
    </xf>
    <xf numFmtId="3" fontId="8" fillId="24" borderId="4" applyAlignment="1" pivotButton="0" quotePrefix="0" xfId="0">
      <alignment horizontal="center"/>
    </xf>
    <xf numFmtId="3" fontId="8" fillId="25" borderId="4" applyAlignment="1" pivotButton="0" quotePrefix="0" xfId="0">
      <alignment horizontal="center"/>
    </xf>
    <xf numFmtId="3" fontId="8" fillId="24" borderId="19" applyAlignment="1" pivotButton="0" quotePrefix="0" xfId="0">
      <alignment horizontal="center"/>
    </xf>
    <xf numFmtId="3" fontId="8" fillId="25" borderId="19" applyAlignment="1" pivotButton="0" quotePrefix="0" xfId="0">
      <alignment horizontal="center"/>
    </xf>
    <xf numFmtId="3" fontId="8" fillId="24" borderId="42" applyAlignment="1" pivotButton="0" quotePrefix="0" xfId="0">
      <alignment horizontal="center"/>
    </xf>
    <xf numFmtId="3" fontId="8" fillId="25" borderId="42" applyAlignment="1" pivotButton="0" quotePrefix="0" xfId="0">
      <alignment horizontal="center"/>
    </xf>
    <xf numFmtId="3" fontId="8" fillId="26" borderId="29" applyAlignment="1" pivotButton="0" quotePrefix="0" xfId="0">
      <alignment horizontal="center"/>
    </xf>
    <xf numFmtId="3" fontId="8" fillId="15" borderId="29" applyAlignment="1" pivotButton="0" quotePrefix="0" xfId="0">
      <alignment horizontal="center"/>
    </xf>
    <xf numFmtId="170" fontId="48" fillId="20" borderId="46" applyAlignment="1" pivotButton="0" quotePrefix="0" xfId="0">
      <alignment horizontal="right"/>
    </xf>
    <xf numFmtId="0" fontId="0" fillId="0" borderId="46" pivotButton="0" quotePrefix="0" xfId="0"/>
    <xf numFmtId="0" fontId="0" fillId="0" borderId="39" pivotButton="0" quotePrefix="0" xfId="0"/>
    <xf numFmtId="0" fontId="0" fillId="0" borderId="5" pivotButton="0" quotePrefix="0" xfId="0"/>
    <xf numFmtId="0" fontId="38" fillId="16" borderId="1" applyAlignment="1" pivotButton="0" quotePrefix="0" xfId="0">
      <alignment horizontal="left"/>
    </xf>
    <xf numFmtId="0" fontId="0" fillId="0" borderId="45" pivotButton="0" quotePrefix="0" xfId="0"/>
    <xf numFmtId="0" fontId="0" fillId="0" borderId="27" pivotButton="0" quotePrefix="0" xfId="0"/>
    <xf numFmtId="0" fontId="0" fillId="0" borderId="36" pivotButton="0" quotePrefix="0" xfId="0"/>
    <xf numFmtId="0" fontId="0" fillId="0" borderId="2" pivotButton="0" quotePrefix="0" xfId="0"/>
    <xf numFmtId="0" fontId="0" fillId="0" borderId="25" pivotButton="0" quotePrefix="0" xfId="0"/>
    <xf numFmtId="4" fontId="38" fillId="24" borderId="1" applyAlignment="1" pivotButton="0" quotePrefix="0" xfId="0">
      <alignment horizontal="center" vertical="center" wrapText="1"/>
    </xf>
    <xf numFmtId="4" fontId="38" fillId="25" borderId="1" applyAlignment="1" pivotButton="0" quotePrefix="0" xfId="0">
      <alignment horizontal="center" vertical="center" wrapText="1"/>
    </xf>
    <xf numFmtId="168" fontId="28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 wrapText="1"/>
    </xf>
    <xf numFmtId="0" fontId="0" fillId="0" borderId="38" pivotButton="0" quotePrefix="0" xfId="0"/>
    <xf numFmtId="0" fontId="8" fillId="0" borderId="1" applyAlignment="1" pivotButton="0" quotePrefix="0" xfId="0">
      <alignment horizontal="left"/>
    </xf>
    <xf numFmtId="169" fontId="0" fillId="0" borderId="0" applyAlignment="1" pivotButton="0" quotePrefix="0" xfId="1">
      <alignment horizontal="center"/>
    </xf>
    <xf numFmtId="0" fontId="52" fillId="0" borderId="1" applyAlignment="1" pivotButton="0" quotePrefix="0" xfId="0">
      <alignment horizontal="center"/>
    </xf>
    <xf numFmtId="169" fontId="0" fillId="0" borderId="1" applyAlignment="1" pivotButton="0" quotePrefix="0" xfId="1">
      <alignment horizontal="center" vertical="center"/>
    </xf>
    <xf numFmtId="169" fontId="0" fillId="0" borderId="25" applyAlignment="1" pivotButton="0" quotePrefix="0" xfId="1">
      <alignment horizontal="center"/>
    </xf>
    <xf numFmtId="169" fontId="0" fillId="0" borderId="5" applyAlignment="1" pivotButton="0" quotePrefix="0" xfId="1">
      <alignment horizontal="center"/>
    </xf>
    <xf numFmtId="169" fontId="56" fillId="0" borderId="5" applyAlignment="1" pivotButton="0" quotePrefix="0" xfId="1">
      <alignment horizontal="center"/>
    </xf>
    <xf numFmtId="169" fontId="58" fillId="0" borderId="5" applyAlignment="1" pivotButton="0" quotePrefix="0" xfId="1">
      <alignment horizontal="center"/>
    </xf>
    <xf numFmtId="169" fontId="32" fillId="0" borderId="5" applyAlignment="1" pivotButton="0" quotePrefix="0" xfId="1">
      <alignment horizontal="center"/>
    </xf>
  </cellXfs>
  <cellStyles count="6">
    <cellStyle name="Normal" xfId="0" builtinId="0"/>
    <cellStyle name="Porcentaje" xfId="1" builtinId="5"/>
    <cellStyle name="Hipervínculo" xfId="2" builtinId="8"/>
    <cellStyle name="Normal 2" xfId="3"/>
    <cellStyle name="Hipervínculo 2" xfId="4"/>
    <cellStyle name="Moneda 2" xfId="5"/>
  </cellStyles>
  <dxfs count="35">
    <dxf>
      <font>
        <color rgb="FF9C0006"/>
      </font>
      <fill>
        <patternFill>
          <bgColor rgb="FFFFC7CE"/>
        </patternFill>
      </fill>
    </dxf>
    <dxf>
      <font>
        <strike val="1"/>
        <color rgb="FFFF0000"/>
      </font>
    </dxf>
    <dxf>
      <font>
        <strike val="1"/>
        <color rgb="FFFF0000"/>
      </font>
    </dxf>
    <dxf>
      <font>
        <strike val="1"/>
        <color rgb="FFFF0000"/>
      </font>
    </dxf>
    <dxf>
      <font>
        <strike val="1"/>
        <color rgb="FFFF0000"/>
      </font>
    </dxf>
    <dxf>
      <font>
        <strike val="0"/>
        <color rgb="FFFF0000"/>
        <u val="single"/>
      </font>
    </dxf>
    <dxf>
      <font>
        <strike val="0"/>
        <color rgb="FF548235"/>
      </font>
    </dxf>
    <dxf>
      <font>
        <strike val="0"/>
        <color rgb="FF548235"/>
      </font>
    </dxf>
    <dxf>
      <font>
        <strike val="1"/>
        <color rgb="FFFF0000"/>
      </font>
    </dxf>
    <dxf>
      <font>
        <strike val="0"/>
        <color rgb="FF548235"/>
      </font>
    </dxf>
    <dxf>
      <font>
        <strike val="1"/>
        <color rgb="FFFF0000"/>
      </font>
    </dxf>
    <dxf>
      <font>
        <strike val="1"/>
        <color rgb="FFFF0000"/>
      </font>
    </dxf>
    <dxf>
      <font>
        <strike val="1"/>
        <color rgb="FFFF0000"/>
      </font>
    </dxf>
    <dxf>
      <font>
        <strike val="0"/>
        <color rgb="FFFF0000"/>
      </font>
    </dxf>
    <dxf>
      <font>
        <strike val="1"/>
        <color rgb="FFFF0000"/>
      </font>
    </dxf>
    <dxf>
      <font>
        <strike val="0"/>
        <color rgb="FFFF0000"/>
      </font>
    </dxf>
    <dxf>
      <font>
        <strike val="1"/>
        <color rgb="FFFF0000"/>
      </font>
    </dxf>
    <dxf>
      <font>
        <strike val="1"/>
        <color rgb="FFFF0000"/>
      </font>
    </dxf>
    <dxf>
      <font>
        <strike val="1"/>
        <color rgb="FFFF0000"/>
      </font>
    </dxf>
    <dxf>
      <font>
        <strike val="1"/>
        <color rgb="FFFF0000"/>
      </font>
    </dxf>
    <dxf>
      <font>
        <strike val="0"/>
        <color rgb="FFFF0000"/>
        <u val="single"/>
      </font>
    </dxf>
    <dxf>
      <font>
        <strike val="0"/>
        <color rgb="FF548235"/>
      </font>
    </dxf>
    <dxf>
      <font>
        <strike val="1"/>
        <color rgb="FFFF0000"/>
      </font>
    </dxf>
    <dxf>
      <font>
        <strike val="1"/>
        <color rgb="FFFF0000"/>
      </font>
    </dxf>
    <dxf>
      <font>
        <strike val="1"/>
        <color rgb="FFFF0000"/>
      </font>
    </dxf>
    <dxf>
      <font>
        <strike val="0"/>
        <color rgb="FF548235"/>
      </font>
    </dxf>
    <dxf>
      <font>
        <strike val="1"/>
        <color rgb="FFFF0000"/>
      </font>
    </dxf>
    <dxf>
      <font>
        <strike val="1"/>
        <color rgb="FFFF0000"/>
      </font>
    </dxf>
    <dxf>
      <font>
        <strike val="1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1"/>
        <color rgb="FFFF0000"/>
      </font>
    </dxf>
    <dxf>
      <font>
        <strike val="0"/>
        <color rgb="FF548235"/>
      </font>
    </dxf>
    <dxf>
      <font>
        <strike val="0"/>
        <color rgb="FFFF0000"/>
        <u val="single"/>
      </font>
    </dxf>
    <dxf>
      <font>
        <strike val="0"/>
        <color rgb="FF548235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70C0"/>
      <rgbColor rgb="FFBFBFBF"/>
      <rgbColor rgb="FF808080"/>
      <rgbColor rgb="FF5B9BD5"/>
      <rgbColor rgb="FF993366"/>
      <rgbColor rgb="FFF2F2F2"/>
      <rgbColor rgb="FFCCFFFF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BDBDB"/>
      <rgbColor rgb="FFFFE699"/>
      <rgbColor rgb="FF99CCFF"/>
      <rgbColor rgb="FFFF99CC"/>
      <rgbColor rgb="FFCC99FF"/>
      <rgbColor rgb="FFD9D9D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None</author>
    <author>Usuario</author>
  </authors>
  <commentList>
    <comment ref="AT29" authorId="0" shapeId="0">
      <text>
        <t xml:space="preserve">Juan Prado:
si no venden
</t>
      </text>
    </comment>
    <comment ref="AT35" authorId="0" shapeId="0">
      <text>
        <t xml:space="preserve">Juan Prado:
No acotan. Importe definitivo dependiendo si venden y/o tipos en el moemento de la entrega
</t>
      </text>
    </comment>
    <comment ref="S39" authorId="1" shapeId="0">
      <text>
        <t xml:space="preserve">Incluye mejoras
</t>
      </text>
    </comment>
    <comment ref="P40" authorId="0" shapeId="0">
      <text>
        <t xml:space="preserve">En cuadro básico esta mal sumado pone 116,61
</t>
      </text>
    </comment>
    <comment ref="R41" authorId="0" shapeId="0">
      <text>
        <t>Juan Prado:
en básico esta mal pone 25,56</t>
      </text>
    </comment>
    <comment ref="AT41" authorId="0" shapeId="0">
      <text>
        <t>Juan Prado:
En principio se quedarian con el 80%, pero depende los tipos. Tienen vivienda para vender y bajar importe</t>
      </text>
    </comment>
    <comment ref="V44" authorId="0" shapeId="0">
      <text>
        <t xml:space="preserve">pacto de abono 30000 entre contrato y reserva iva incluido
</t>
      </text>
    </comment>
    <comment ref="J46" authorId="1" shapeId="0">
      <text>
        <t xml:space="preserve">+5000 por eliminacion trastero 9
</t>
      </text>
    </comment>
    <comment ref="AT55" authorId="0" shapeId="0">
      <text>
        <t>Juan Prado:
Gestiona prestamo por su cuenta</t>
      </text>
    </comment>
    <comment ref="K57" authorId="1" shapeId="0">
      <text>
        <t xml:space="preserve">+2000 por unir al 7 que desaparece
</t>
      </text>
    </comment>
    <comment ref="AT60" authorId="0" shapeId="0">
      <text>
        <t>Juan Prado:
Gestiona prestamo por su cuenta</t>
      </text>
    </comment>
    <comment ref="J67" authorId="1" shapeId="0">
      <text>
        <t>+4000 por eliminación trastero 68 + 1000 POR GESTION COMERCIAL</t>
      </text>
    </comment>
    <comment ref="AT74" authorId="0" shapeId="0">
      <text>
        <t>Juan Prado:
Su intención es menos. Dependerá capacidad ahorro</t>
      </text>
    </comment>
    <comment ref="AT77" authorId="0" shapeId="0">
      <text>
        <t>Juan Prado:
Tienen vivienda que noquieren vender, pero que venderian en caso necesario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J41" authorId="0" shapeId="0">
      <text>
        <t xml:space="preserve">pacto de abono 30000 entre contrato y reserva iva incluido
</t>
      </text>
    </comment>
  </commentList>
</comments>
</file>

<file path=xl/comments/comment3.xml><?xml version="1.0" encoding="utf-8"?>
<comments xmlns="http://schemas.openxmlformats.org/spreadsheetml/2006/main">
  <authors>
    <author>Usuario</author>
  </authors>
  <commentList>
    <comment ref="L38" authorId="0" shapeId="0">
      <text>
        <t xml:space="preserve">+5000 por eliminacion trastero 9
</t>
      </text>
    </comment>
    <comment ref="L68" authorId="0" shapeId="0">
      <text>
        <t>+4000 por eliminación trastero 68</t>
      </text>
    </comment>
    <comment ref="M71" authorId="0" shapeId="0">
      <text>
        <t xml:space="preserve">+2000 por unir al 7 que desaparece
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manuel.pgragera@gmail.com" TargetMode="External" Id="rId1" /><Relationship Type="http://schemas.openxmlformats.org/officeDocument/2006/relationships/hyperlink" Target="mailto:jfra_0099@hotmail.com" TargetMode="External" Id="rId2" /><Relationship Type="http://schemas.openxmlformats.org/officeDocument/2006/relationships/hyperlink" Target="mailto:isiromeromartin@hotmail.com" TargetMode="External" Id="rId3" /><Relationship Type="http://schemas.openxmlformats.org/officeDocument/2006/relationships/hyperlink" Target="mailto:amaliaahabilitados@gmail.com" TargetMode="External" Id="rId4" /><Relationship Type="http://schemas.openxmlformats.org/officeDocument/2006/relationships/hyperlink" Target="mailto:pablojosediaz@yahoo.es" TargetMode="External" Id="rId5" /><Relationship Type="http://schemas.openxmlformats.org/officeDocument/2006/relationships/hyperlink" Target="mailto:jacintagallego20@gmail.com" TargetMode="External" Id="rId6" /><Relationship Type="http://schemas.openxmlformats.org/officeDocument/2006/relationships/hyperlink" Target="mailto:v.rojas@cnat.es" TargetMode="External" Id="rId7" /><Relationship Type="http://schemas.openxmlformats.org/officeDocument/2006/relationships/hyperlink" Target="mailto:ninoghg@gmail.com" TargetMode="External" Id="rId8" /><Relationship Type="http://schemas.openxmlformats.org/officeDocument/2006/relationships/hyperlink" Target="mailto:marisa63@educarex.es" TargetMode="External" Id="rId9" /><Relationship Type="http://schemas.openxmlformats.org/officeDocument/2006/relationships/hyperlink" Target="mailto:mariaj.fs.88@gmail.com" TargetMode="External" Id="rId10" /><Relationship Type="http://schemas.openxmlformats.org/officeDocument/2006/relationships/hyperlink" Target="mailto:pepe.jerepe83@gmail.com" TargetMode="External" Id="rId11" /><Relationship Type="http://schemas.openxmlformats.org/officeDocument/2006/relationships/hyperlink" Target="mailto:miotracuenta2@gmail.com" TargetMode="External" Id="rId12" /><Relationship Type="http://schemas.openxmlformats.org/officeDocument/2006/relationships/hyperlink" Target="mailto:felipaperezcorrales@gmail.com" TargetMode="External" Id="rId13" /><Relationship Type="http://schemas.openxmlformats.org/officeDocument/2006/relationships/hyperlink" Target="mailto:paulino.conejo@hotmail.com" TargetMode="External" Id="rId14" /><Relationship Type="http://schemas.openxmlformats.org/officeDocument/2006/relationships/hyperlink" Target="mailto:paulino.conejo@hotmail.com" TargetMode="External" Id="rId15" /><Relationship Type="http://schemas.openxmlformats.org/officeDocument/2006/relationships/hyperlink" Target="mailto:trivillasa@gmail.com" TargetMode="External" Id="rId16" /><Relationship Type="http://schemas.openxmlformats.org/officeDocument/2006/relationships/hyperlink" Target="mailto:majosevva@gmail.com" TargetMode="External" Id="rId17" /><Relationship Type="http://schemas.openxmlformats.org/officeDocument/2006/relationships/hyperlink" Target="mailto:ansaro7@outlook.es" TargetMode="External" Id="rId18" /><Relationship Type="http://schemas.openxmlformats.org/officeDocument/2006/relationships/hyperlink" Target="mailto:eschzrico@gmail.com" TargetMode="External" Id="rId19" /><Relationship Type="http://schemas.openxmlformats.org/officeDocument/2006/relationships/hyperlink" Target="mailto:angelgutiez@gmail.com" TargetMode="External" Id="rId20" /><Relationship Type="http://schemas.openxmlformats.org/officeDocument/2006/relationships/hyperlink" Target="mailto:albatecnico@hotmail.com" TargetMode="External" Id="rId21" /><Relationship Type="http://schemas.openxmlformats.org/officeDocument/2006/relationships/hyperlink" Target="mailto:claudio.borrego@gmail.com" TargetMode="External" Id="rId22" /><Relationship Type="http://schemas.openxmlformats.org/officeDocument/2006/relationships/hyperlink" Target="mailto:real.maite@gmail.com" TargetMode="External" Id="rId23" /><Relationship Type="http://schemas.openxmlformats.org/officeDocument/2006/relationships/hyperlink" Target="mailto:sirenitomuriel@gmail.com" TargetMode="External" Id="rId24" /><Relationship Type="http://schemas.openxmlformats.org/officeDocument/2006/relationships/hyperlink" Target="mailto:antoniogranerovazquez@outlook.com" TargetMode="External" Id="rId25" /><Relationship Type="http://schemas.openxmlformats.org/officeDocument/2006/relationships/hyperlink" Target="mailto:jmrosonjimenez@gmail.com" TargetMode="External" Id="rId26" /><Relationship Type="http://schemas.openxmlformats.org/officeDocument/2006/relationships/hyperlink" Target="mailto:lolirepe@hotmail.com" TargetMode="External" Id="rId27" /><Relationship Type="http://schemas.openxmlformats.org/officeDocument/2006/relationships/hyperlink" Target="mailto:fernando.lima@siderbalboa.es" TargetMode="External" Id="rId28" /><Relationship Type="http://schemas.openxmlformats.org/officeDocument/2006/relationships/hyperlink" Target="mailto:barnizadosbadajoz@barnizadosbadajoz.es" TargetMode="External" Id="rId29" /><Relationship Type="http://schemas.openxmlformats.org/officeDocument/2006/relationships/hyperlink" Target="mailto:isabel_lm7@hotmail.com" TargetMode="External" Id="rId30" /><Relationship Type="http://schemas.openxmlformats.org/officeDocument/2006/relationships/hyperlink" Target="mailto:palomaesq@yahoo.es" TargetMode="External" Id="rId31" /><Relationship Type="http://schemas.openxmlformats.org/officeDocument/2006/relationships/hyperlink" Target="mailto:jjga0360@gmail.com" TargetMode="External" Id="rId32" /><Relationship Type="http://schemas.openxmlformats.org/officeDocument/2006/relationships/hyperlink" Target="mailto:angelcarrion13@gmail.com" TargetMode="External" Id="rId33" /><Relationship Type="http://schemas.openxmlformats.org/officeDocument/2006/relationships/hyperlink" Target="mailto:raquelmriel13@gmail.com" TargetMode="External" Id="rId34" /><Relationship Type="http://schemas.openxmlformats.org/officeDocument/2006/relationships/hyperlink" Target="mailto:josediegoj75@gmail.com" TargetMode="External" Id="rId35" /><Relationship Type="http://schemas.openxmlformats.org/officeDocument/2006/relationships/hyperlink" Target="mailto:felixmeragallardo@gmail.com" TargetMode="External" Id="rId36" /><Relationship Type="http://schemas.openxmlformats.org/officeDocument/2006/relationships/hyperlink" Target="mailto:rmgcapote@gmail.com" TargetMode="External" Id="rId37" /><Relationship Type="http://schemas.openxmlformats.org/officeDocument/2006/relationships/hyperlink" Target="mailto:cristinapolo83@gmail.com" TargetMode="External" Id="rId38" /><Relationship Type="http://schemas.openxmlformats.org/officeDocument/2006/relationships/hyperlink" Target="mailto:espferinf@gmail.com" TargetMode="External" Id="rId39" /><Relationship Type="http://schemas.openxmlformats.org/officeDocument/2006/relationships/hyperlink" Target="mailto:aframirezo01@educarex.es" TargetMode="External" Id="rId40" /><Relationship Type="http://schemas.openxmlformats.org/officeDocument/2006/relationships/hyperlink" Target="mailto:msanchez9337@gmail.com" TargetMode="External" Id="rId41" /><Relationship Type="http://schemas.openxmlformats.org/officeDocument/2006/relationships/hyperlink" Target="mailto:isabelperezcarvajal@gmail.com" TargetMode="External" Id="rId42" /><Relationship Type="http://schemas.openxmlformats.org/officeDocument/2006/relationships/hyperlink" Target="mailto:johanq88@gmail.com" TargetMode="External" Id="rId43" /><Relationship Type="http://schemas.openxmlformats.org/officeDocument/2006/relationships/hyperlink" Target="mailto:lidiamorenoh@yahoo.es" TargetMode="External" Id="rId44" /><Relationship Type="http://schemas.openxmlformats.org/officeDocument/2006/relationships/hyperlink" Target="mailto:aureliocolladobarragan@yahoo.es" TargetMode="External" Id="rId45" /><Relationship Type="http://schemas.openxmlformats.org/officeDocument/2006/relationships/hyperlink" Target="mailto:elena.arevalo67@yahoo.es" TargetMode="External" Id="rId4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E79"/>
  <sheetViews>
    <sheetView showGridLines="0" zoomScaleNormal="100" workbookViewId="0">
      <pane xSplit="8" ySplit="11" topLeftCell="T44" activePane="bottomRight" state="frozen"/>
      <selection pane="topRight" activeCell="I1" sqref="I1"/>
      <selection pane="bottomLeft" activeCell="A12" sqref="A12"/>
      <selection pane="bottomRight" activeCell="X44" activeCellId="3" sqref="AA77 V44 W44 X44"/>
    </sheetView>
  </sheetViews>
  <sheetFormatPr baseColWidth="10" defaultColWidth="10.7109375" defaultRowHeight="15"/>
  <cols>
    <col width="10" customWidth="1" min="1" max="1"/>
    <col width="11.42578125" customWidth="1" min="2" max="2"/>
    <col width="11.42578125" customWidth="1" style="321" min="3" max="3"/>
    <col width="7.28515625" customWidth="1" min="4" max="4"/>
    <col width="9.28515625" customWidth="1" min="5" max="5"/>
    <col width="7.5703125" customWidth="1" min="6" max="6"/>
    <col width="6.85546875" customWidth="1" min="7" max="7"/>
    <col width="7.7109375" customWidth="1" min="8" max="8"/>
    <col width="8.7109375" customWidth="1" min="9" max="9"/>
    <col width="7.7109375" customWidth="1" min="10" max="10"/>
    <col width="7.28515625" customWidth="1" min="11" max="11"/>
    <col width="6.140625" customWidth="1" min="12" max="12"/>
    <col width="5.85546875" customWidth="1" min="13" max="13"/>
    <col width="11.42578125" customWidth="1" min="14" max="17"/>
    <col width="11.42578125" customWidth="1" style="1" min="18" max="18"/>
    <col width="11.42578125" customWidth="1" min="19" max="19"/>
    <col width="11.42578125" customWidth="1" style="1" min="20" max="20"/>
    <col width="14.5703125" customWidth="1" style="1" min="21" max="21"/>
    <col width="11.42578125" customWidth="1" style="2" min="22" max="22"/>
    <col width="11.5703125" customWidth="1" style="1" min="23" max="23"/>
    <col width="16.42578125" customWidth="1" style="1" min="24" max="24"/>
    <col width="13.5703125" customWidth="1" style="1" min="25" max="25"/>
    <col width="13.140625" customWidth="1" style="1" min="26" max="26"/>
    <col width="9.85546875" customWidth="1" style="1" min="27" max="27"/>
    <col width="42.85546875" customWidth="1" style="3" min="28" max="28"/>
    <col width="15" customWidth="1" style="4" min="29" max="29"/>
    <col width="16.7109375" customWidth="1" style="4" min="30" max="30"/>
    <col width="28" customWidth="1" style="5" min="31" max="31"/>
    <col width="33.5703125" customWidth="1" style="4" min="32" max="32"/>
    <col width="21" customWidth="1" style="4" min="33" max="33"/>
    <col width="18.140625" customWidth="1" style="4" min="34" max="34"/>
    <col width="20.5703125" customWidth="1" style="6" min="35" max="35"/>
    <col width="32.7109375" customWidth="1" style="4" min="36" max="36"/>
    <col width="52.28515625" customWidth="1" style="4" min="37" max="37"/>
    <col width="2.7109375" customWidth="1" style="4" min="38" max="38"/>
    <col hidden="1" width="9.5703125" customWidth="1" min="39" max="39"/>
    <col hidden="1" width="10.7109375" customWidth="1" min="40" max="49"/>
    <col hidden="1" width="19.5703125" customWidth="1" min="50" max="50"/>
    <col hidden="1" width="10.7109375" customWidth="1" min="51" max="54"/>
    <col width="35.42578125" bestFit="1" customWidth="1" min="55" max="55"/>
    <col width="36.140625" customWidth="1" min="56" max="56"/>
  </cols>
  <sheetData>
    <row r="1" ht="21" customHeight="1">
      <c r="A1" s="504" t="n"/>
    </row>
    <row r="2" ht="21" customHeight="1">
      <c r="BE2" s="218" t="n"/>
    </row>
    <row r="3" ht="21" customHeight="1"/>
    <row r="4" ht="21" customHeight="1">
      <c r="A4" s="320" t="inlineStr">
        <is>
          <t>Actualización30/08/2024</t>
        </is>
      </c>
      <c r="J4" s="8" t="n"/>
      <c r="K4" s="8" t="n"/>
      <c r="M4" s="9" t="n"/>
      <c r="P4" s="8" t="n"/>
      <c r="Q4" s="575" t="n"/>
      <c r="R4" s="576" t="n"/>
    </row>
    <row r="5" ht="21" customHeight="1">
      <c r="A5" s="305" t="inlineStr">
        <is>
          <t>VENTAS</t>
        </is>
      </c>
      <c r="B5" s="514">
        <f>COUNTIF($A$12:$A$77,"RESERVADO")</f>
        <v/>
      </c>
      <c r="C5" s="577" t="n"/>
      <c r="D5" s="578" t="n"/>
      <c r="E5" s="579" t="inlineStr">
        <is>
          <t xml:space="preserve">                                                                                            CUADRO MAESTRO DE SITUACIÓN  (Actualización precios 11/06/2024)</t>
        </is>
      </c>
      <c r="F5" s="577" t="n"/>
      <c r="G5" s="577" t="n"/>
      <c r="H5" s="577" t="n"/>
      <c r="I5" s="577" t="n"/>
      <c r="J5" s="577" t="n"/>
      <c r="K5" s="577" t="n"/>
      <c r="L5" s="577" t="n"/>
      <c r="M5" s="577" t="n"/>
      <c r="N5" s="577" t="n"/>
      <c r="O5" s="577" t="n"/>
      <c r="P5" s="577" t="n"/>
      <c r="Q5" s="577" t="n"/>
      <c r="R5" s="577" t="n"/>
      <c r="S5" s="577" t="n"/>
      <c r="T5" s="577" t="n"/>
      <c r="U5" s="577" t="n"/>
      <c r="V5" s="577" t="n"/>
      <c r="W5" s="577" t="n"/>
      <c r="X5" s="577" t="n"/>
      <c r="Y5" s="577" t="n"/>
      <c r="Z5" s="578" t="n"/>
    </row>
    <row r="6" ht="18" customHeight="1">
      <c r="A6" s="306" t="inlineStr">
        <is>
          <t>% s/unid.:</t>
        </is>
      </c>
      <c r="B6" s="307">
        <f>+$B$5/66</f>
        <v/>
      </c>
      <c r="C6" s="342" t="inlineStr">
        <is>
          <t>% S/importe.:</t>
        </is>
      </c>
      <c r="D6" s="352">
        <f>+#REF!/#REF!</f>
        <v/>
      </c>
      <c r="E6" s="310" t="n"/>
      <c r="F6" s="311" t="n"/>
      <c r="G6" s="312" t="n"/>
      <c r="H6" s="311" t="n"/>
      <c r="I6" s="311" t="n"/>
      <c r="J6" s="311" t="n"/>
      <c r="K6" s="311" t="n"/>
      <c r="L6" s="313" t="n"/>
      <c r="M6" s="314" t="n"/>
      <c r="N6" s="315" t="n"/>
      <c r="O6" s="311" t="n"/>
      <c r="P6" s="315" t="n"/>
      <c r="Q6" s="311" t="n"/>
      <c r="R6" s="316" t="n"/>
      <c r="S6" s="311" t="n"/>
      <c r="T6" s="316" t="n"/>
      <c r="U6" s="316" t="n"/>
      <c r="V6" s="317" t="n"/>
      <c r="W6" s="316" t="n"/>
      <c r="X6" s="316" t="n"/>
      <c r="Y6" s="316" t="n"/>
      <c r="Z6" s="333" t="n"/>
    </row>
    <row r="7">
      <c r="A7" s="7" t="n"/>
      <c r="B7" s="7" t="n"/>
      <c r="C7" s="343" t="n"/>
    </row>
    <row r="8" ht="14.25" customHeight="1">
      <c r="A8" s="513" t="inlineStr">
        <is>
          <t xml:space="preserve">ESTADO </t>
        </is>
      </c>
      <c r="B8" s="580" t="n"/>
      <c r="C8" s="581" t="n"/>
      <c r="E8" s="511" t="inlineStr">
        <is>
          <t>INMUEBLES</t>
        </is>
      </c>
      <c r="F8" s="577" t="n"/>
      <c r="G8" s="577" t="n"/>
      <c r="H8" s="577" t="n"/>
      <c r="I8" s="577" t="n"/>
      <c r="J8" s="577" t="n"/>
      <c r="K8" s="577" t="n"/>
      <c r="L8" s="577" t="n"/>
      <c r="M8" s="578" t="n"/>
      <c r="N8" s="233" t="inlineStr">
        <is>
          <t>SUPERFICIES VIVIENDA (m2)</t>
        </is>
      </c>
      <c r="O8" s="233" t="n"/>
      <c r="P8" s="233" t="n"/>
      <c r="Q8" s="233" t="n"/>
      <c r="R8" s="233" t="n"/>
      <c r="S8" s="512" t="inlineStr">
        <is>
          <t>PRECIOS</t>
        </is>
      </c>
      <c r="T8" s="577" t="n"/>
      <c r="U8" s="578" t="n"/>
      <c r="V8" s="501" t="inlineStr">
        <is>
          <t>FORMA DE PAGO ESTANDAR (IVA inlcuido)</t>
        </is>
      </c>
      <c r="W8" s="577" t="n"/>
      <c r="X8" s="577" t="n"/>
      <c r="Y8" s="577" t="n"/>
      <c r="Z8" s="578" t="n"/>
      <c r="AA8" s="328" t="n"/>
      <c r="AB8" s="499" t="inlineStr">
        <is>
          <t>DATOS CONTACTO COMPRADORES</t>
        </is>
      </c>
      <c r="AC8" s="580" t="n"/>
      <c r="AD8" s="580" t="n"/>
      <c r="AE8" s="580" t="n"/>
      <c r="AF8" s="580" t="n"/>
      <c r="AG8" s="580" t="n"/>
      <c r="AH8" s="580" t="n"/>
      <c r="AI8" s="580" t="n"/>
      <c r="AJ8" s="580" t="n"/>
      <c r="AK8" s="581" t="n"/>
      <c r="AL8" s="10" t="n"/>
      <c r="AM8" s="500" t="inlineStr">
        <is>
          <t>INVESTICACION</t>
        </is>
      </c>
      <c r="AN8" s="580" t="n"/>
      <c r="AO8" s="580" t="n"/>
      <c r="AP8" s="580" t="n"/>
      <c r="AQ8" s="580" t="n"/>
      <c r="AR8" s="580" t="n"/>
      <c r="AS8" s="580" t="n"/>
      <c r="AT8" s="580" t="n"/>
      <c r="AU8" s="580" t="n"/>
      <c r="AV8" s="580" t="n"/>
      <c r="AW8" s="580" t="n"/>
      <c r="AX8" s="581" t="n"/>
    </row>
    <row r="9" ht="14.25" customHeight="1">
      <c r="A9" s="582" t="n"/>
      <c r="B9" s="576" t="n"/>
      <c r="C9" s="583" t="n"/>
      <c r="E9" s="318" t="inlineStr">
        <is>
          <t>Nº  Orden</t>
        </is>
      </c>
      <c r="F9" s="515" t="inlineStr">
        <is>
          <t>VIVIENDA</t>
        </is>
      </c>
      <c r="G9" s="576" t="n"/>
      <c r="H9" s="576" t="n"/>
      <c r="I9" s="583" t="n"/>
      <c r="J9" s="511" t="inlineStr">
        <is>
          <t>ANEXOS</t>
        </is>
      </c>
      <c r="K9" s="577" t="n"/>
      <c r="L9" s="577" t="n"/>
      <c r="M9" s="578" t="n"/>
      <c r="N9" s="502" t="inlineStr">
        <is>
          <t>Sup. Útil vivienda</t>
        </is>
      </c>
      <c r="O9" s="502" t="inlineStr">
        <is>
          <t>Sup. Útil terraza (50%)</t>
        </is>
      </c>
      <c r="P9" s="502" t="inlineStr">
        <is>
          <t>Sup.út Vvda. pp.terraz cubierta</t>
        </is>
      </c>
      <c r="Q9" s="502" t="inlineStr">
        <is>
          <t>Sup. Construida propia</t>
        </is>
      </c>
      <c r="R9" s="502" t="inlineStr">
        <is>
          <t>sup. patio/terraza desubieta</t>
        </is>
      </c>
      <c r="S9" s="503" t="inlineStr">
        <is>
          <t>Neto</t>
        </is>
      </c>
      <c r="T9" s="497" t="inlineStr">
        <is>
          <t>IVA</t>
        </is>
      </c>
      <c r="U9" s="497" t="inlineStr">
        <is>
          <t>TOTAL</t>
        </is>
      </c>
      <c r="V9" s="497" t="inlineStr">
        <is>
          <t>Reserva</t>
        </is>
      </c>
      <c r="W9" s="497" t="inlineStr">
        <is>
          <t>Compraventa</t>
        </is>
      </c>
      <c r="X9" s="497" t="inlineStr">
        <is>
          <t>Durante obra(20 pagos)</t>
        </is>
      </c>
      <c r="Y9" s="497" t="inlineStr">
        <is>
          <t>A llaves</t>
        </is>
      </c>
      <c r="Z9" s="497" t="inlineStr">
        <is>
          <t>Hipoteca contrato</t>
        </is>
      </c>
      <c r="AA9" s="497" t="inlineStr">
        <is>
          <t>Finca Registral</t>
        </is>
      </c>
      <c r="AB9" s="582" t="n"/>
      <c r="AC9" s="576" t="n"/>
      <c r="AD9" s="576" t="n"/>
      <c r="AE9" s="576" t="n"/>
      <c r="AF9" s="576" t="n"/>
      <c r="AG9" s="576" t="n"/>
      <c r="AH9" s="576" t="n"/>
      <c r="AI9" s="576" t="n"/>
      <c r="AJ9" s="576" t="n"/>
      <c r="AK9" s="583" t="n"/>
      <c r="AL9" s="10" t="n"/>
      <c r="AM9" s="582" t="n"/>
      <c r="AN9" s="576" t="n"/>
      <c r="AO9" s="576" t="n"/>
      <c r="AP9" s="576" t="n"/>
      <c r="AQ9" s="576" t="n"/>
      <c r="AR9" s="576" t="n"/>
      <c r="AS9" s="576" t="n"/>
      <c r="AT9" s="576" t="n"/>
      <c r="AU9" s="576" t="n"/>
      <c r="AV9" s="576" t="n"/>
      <c r="AW9" s="576" t="n"/>
      <c r="AX9" s="583" t="n"/>
    </row>
    <row r="10" ht="34.5" customFormat="1" customHeight="1" s="12">
      <c r="A10" s="308" t="inlineStr">
        <is>
          <t>Reservas:</t>
        </is>
      </c>
      <c r="B10" s="309" t="inlineStr">
        <is>
          <t>Fecha Reserva</t>
        </is>
      </c>
      <c r="C10" s="344" t="inlineStr">
        <is>
          <t>Fecha compravent.</t>
        </is>
      </c>
      <c r="E10" s="584" t="n"/>
      <c r="F10" s="318" t="inlineStr">
        <is>
          <t>PORTAL</t>
        </is>
      </c>
      <c r="G10" s="318" t="inlineStr">
        <is>
          <t>PLANTA</t>
        </is>
      </c>
      <c r="H10" s="318" t="inlineStr">
        <is>
          <t>LETRA</t>
        </is>
      </c>
      <c r="I10" s="318" t="inlineStr">
        <is>
          <t>Nº Dorm.</t>
        </is>
      </c>
      <c r="J10" s="318" t="inlineStr">
        <is>
          <t>Garaje</t>
        </is>
      </c>
      <c r="K10" s="318" t="inlineStr">
        <is>
          <t>Trastero</t>
        </is>
      </c>
      <c r="L10" s="319" t="inlineStr">
        <is>
          <t>G. Adicional</t>
        </is>
      </c>
      <c r="M10" s="319" t="inlineStr">
        <is>
          <t>Tr. Adicional</t>
        </is>
      </c>
      <c r="N10" s="584" t="n"/>
      <c r="O10" s="584" t="n"/>
      <c r="P10" s="584" t="n"/>
      <c r="Q10" s="584" t="n"/>
      <c r="R10" s="584" t="n"/>
      <c r="S10" s="584" t="n"/>
      <c r="T10" s="584" t="n"/>
      <c r="U10" s="584" t="n"/>
      <c r="V10" s="584" t="n"/>
      <c r="W10" s="584" t="n"/>
      <c r="X10" s="584" t="n"/>
      <c r="Y10" s="584" t="n"/>
      <c r="Z10" s="584" t="n"/>
      <c r="AA10" s="584" t="n"/>
      <c r="AB10" s="94" t="inlineStr">
        <is>
          <t>TITULAR 1</t>
        </is>
      </c>
      <c r="AC10" s="94" t="n"/>
      <c r="AD10" s="252" t="n"/>
      <c r="AE10" s="94" t="inlineStr">
        <is>
          <t>MAIL 1</t>
        </is>
      </c>
      <c r="AF10" s="94" t="inlineStr">
        <is>
          <t>TITULAR 2</t>
        </is>
      </c>
      <c r="AG10" s="94" t="n"/>
      <c r="AH10" s="253" t="n"/>
      <c r="AI10" s="94" t="inlineStr">
        <is>
          <t>MAIL 2</t>
        </is>
      </c>
      <c r="AJ10" s="94" t="inlineStr">
        <is>
          <t>Situacion familiar</t>
        </is>
      </c>
      <c r="AK10" s="94" t="inlineStr">
        <is>
          <t>Dirección Contrato</t>
        </is>
      </c>
      <c r="AL10" s="14" t="n"/>
      <c r="AM10" s="498" t="inlineStr">
        <is>
          <t>cargas familiares</t>
        </is>
      </c>
      <c r="AN10" s="498" t="inlineStr">
        <is>
          <t>EDAD</t>
        </is>
      </c>
      <c r="AO10" s="498" t="inlineStr">
        <is>
          <t>Profecsión</t>
        </is>
      </c>
      <c r="AP10" s="498" t="inlineStr">
        <is>
          <t>€/mes</t>
        </is>
      </c>
      <c r="AQ10" s="498" t="inlineStr">
        <is>
          <t>EDAD</t>
        </is>
      </c>
      <c r="AR10" s="498" t="inlineStr">
        <is>
          <t>Profesión</t>
        </is>
      </c>
      <c r="AS10" s="498" t="inlineStr">
        <is>
          <t>€/mes</t>
        </is>
      </c>
      <c r="AT10" s="498" t="inlineStr">
        <is>
          <t>Hipoteca</t>
        </is>
      </c>
      <c r="AU10" s="15" t="inlineStr">
        <is>
          <t>Vende</t>
        </is>
      </c>
      <c r="AV10" s="498" t="inlineStr">
        <is>
          <t>Motivo compra</t>
        </is>
      </c>
      <c r="AW10" s="578" t="n"/>
      <c r="AX10" s="15" t="inlineStr">
        <is>
          <t>Procede</t>
        </is>
      </c>
    </row>
    <row r="11" ht="15.75" customHeight="1" thickBot="1">
      <c r="S11" s="2" t="n"/>
      <c r="V11" s="1" t="n"/>
      <c r="AA11" s="329" t="n"/>
      <c r="AB11" s="211" t="n"/>
      <c r="AC11" s="211" t="n"/>
      <c r="AD11" s="254" t="n"/>
      <c r="AE11" s="211" t="n"/>
      <c r="AF11" s="211" t="n"/>
      <c r="AG11" s="211" t="n"/>
      <c r="AH11" s="255" t="n"/>
      <c r="AI11" s="211" t="n"/>
      <c r="AJ11" s="211" t="n"/>
      <c r="AK11" s="211" t="n"/>
    </row>
    <row r="12" ht="14.25" customHeight="1">
      <c r="A12" s="418" t="inlineStr">
        <is>
          <t>BLOQUEADO</t>
        </is>
      </c>
      <c r="B12" s="416" t="n"/>
      <c r="C12" s="416" t="n"/>
      <c r="E12" s="238" t="n">
        <v>1</v>
      </c>
      <c r="F12" s="17" t="n">
        <v>1</v>
      </c>
      <c r="G12" s="18" t="inlineStr">
        <is>
          <t>BAJA</t>
        </is>
      </c>
      <c r="H12" s="18" t="inlineStr">
        <is>
          <t>A</t>
        </is>
      </c>
      <c r="I12" s="18" t="n">
        <v>4</v>
      </c>
      <c r="J12" s="18" t="n">
        <v>62</v>
      </c>
      <c r="K12" s="18" t="n">
        <v>56</v>
      </c>
      <c r="L12" s="18" t="inlineStr">
        <is>
          <t>.</t>
        </is>
      </c>
      <c r="M12" s="18" t="inlineStr">
        <is>
          <t>.</t>
        </is>
      </c>
      <c r="N12" s="19" t="n">
        <v>109.9</v>
      </c>
      <c r="O12" s="19" t="n">
        <v>9.52</v>
      </c>
      <c r="P12" s="19" t="n">
        <v>119.42</v>
      </c>
      <c r="Q12" s="20" t="n">
        <v>139.96</v>
      </c>
      <c r="R12" s="20" t="n">
        <v>25.81</v>
      </c>
      <c r="S12" s="21" t="n">
        <v>310000</v>
      </c>
      <c r="T12" s="356" t="n">
        <v>31000</v>
      </c>
      <c r="U12" s="364" t="n">
        <v>341000</v>
      </c>
      <c r="V12" s="23" t="n">
        <v>0</v>
      </c>
      <c r="W12" s="23" t="n">
        <v>0</v>
      </c>
      <c r="X12" s="24" t="n">
        <v>0</v>
      </c>
      <c r="Y12" s="24" t="n">
        <v>93000</v>
      </c>
      <c r="Z12" s="325" t="n">
        <v>248000</v>
      </c>
      <c r="AA12" s="495" t="n">
        <v>49350</v>
      </c>
      <c r="AB12" s="25" t="n"/>
      <c r="AC12" s="26" t="n"/>
      <c r="AD12" s="27" t="n"/>
      <c r="AE12" s="48" t="n"/>
      <c r="AF12" s="28" t="n"/>
      <c r="AG12" s="28" t="n"/>
      <c r="AH12" s="29" t="n"/>
      <c r="AI12" s="256" t="n"/>
      <c r="AJ12" s="30" t="n"/>
      <c r="AK12" s="88" t="n"/>
      <c r="AL12" s="32" t="n"/>
      <c r="AM12" s="33" t="inlineStr">
        <is>
          <t>si</t>
        </is>
      </c>
      <c r="AN12" s="33" t="n">
        <v>34</v>
      </c>
      <c r="AO12" s="33" t="inlineStr">
        <is>
          <t>Ing. Informatico</t>
        </is>
      </c>
      <c r="AP12" s="33" t="n"/>
      <c r="AQ12" s="33" t="n">
        <v>41</v>
      </c>
      <c r="AR12" s="33" t="inlineStr">
        <is>
          <t>Direct. Escuela Infantil</t>
        </is>
      </c>
      <c r="AS12" s="33" t="n"/>
      <c r="AT12" s="33" t="n"/>
      <c r="AU12" s="33" t="n"/>
      <c r="AV12" s="33" t="n"/>
      <c r="AW12" s="33" t="n"/>
      <c r="AX12" s="33" t="inlineStr">
        <is>
          <t>Pardaleras</t>
        </is>
      </c>
      <c r="BB12">
        <f>IF(A12="RESERVADO",S12,"LIBRE")</f>
        <v/>
      </c>
      <c r="BC12" s="218" t="n"/>
    </row>
    <row r="13" ht="14.25" customHeight="1">
      <c r="A13" s="31" t="inlineStr">
        <is>
          <t>RESERVADO</t>
        </is>
      </c>
      <c r="B13" s="417" t="n">
        <v>44785</v>
      </c>
      <c r="C13" s="417" t="n">
        <v>45383</v>
      </c>
      <c r="E13" s="239" t="n">
        <v>2</v>
      </c>
      <c r="F13" s="35" t="n">
        <v>1</v>
      </c>
      <c r="G13" s="36" t="inlineStr">
        <is>
          <t>BAJA</t>
        </is>
      </c>
      <c r="H13" s="36" t="inlineStr">
        <is>
          <t>B</t>
        </is>
      </c>
      <c r="I13" s="36" t="n">
        <v>3</v>
      </c>
      <c r="J13" s="36" t="n">
        <v>57</v>
      </c>
      <c r="K13" s="36" t="n">
        <v>50</v>
      </c>
      <c r="L13" s="36" t="inlineStr">
        <is>
          <t>.</t>
        </is>
      </c>
      <c r="M13" s="36" t="inlineStr">
        <is>
          <t>.</t>
        </is>
      </c>
      <c r="N13" s="37" t="n">
        <v>90.04000000000001</v>
      </c>
      <c r="O13" s="37" t="n">
        <v>3.17</v>
      </c>
      <c r="P13" s="37" t="n">
        <v>93.21000000000001</v>
      </c>
      <c r="Q13" s="38" t="n">
        <v>107.77</v>
      </c>
      <c r="R13" s="37" t="n">
        <v>33.92</v>
      </c>
      <c r="S13" s="39" t="n">
        <v>234900</v>
      </c>
      <c r="T13" s="41" t="n">
        <v>23490</v>
      </c>
      <c r="U13" s="365" t="n">
        <v>258390</v>
      </c>
      <c r="V13" s="41" t="n">
        <v>12000</v>
      </c>
      <c r="W13" s="70" t="n">
        <v>20000</v>
      </c>
      <c r="X13" s="42" t="n">
        <v>19678</v>
      </c>
      <c r="Y13" s="42" t="n">
        <v>18792</v>
      </c>
      <c r="Z13" s="334" t="n">
        <v>187920</v>
      </c>
      <c r="AA13" s="495">
        <f>AA12+2</f>
        <v/>
      </c>
      <c r="AB13" s="43" t="inlineStr">
        <is>
          <t>MANUEL PEÑA GRAGERA</t>
        </is>
      </c>
      <c r="AC13" s="44" t="n"/>
      <c r="AD13" s="45" t="n"/>
      <c r="AE13" s="48" t="inlineStr">
        <is>
          <t>manuel.pgragera@gmail.com</t>
        </is>
      </c>
      <c r="AF13" s="46" t="inlineStr">
        <is>
          <t>JUAN FRANCISCO CERRATO MIRA</t>
        </is>
      </c>
      <c r="AG13" s="46" t="n"/>
      <c r="AH13" s="47" t="n"/>
      <c r="AI13" s="257" t="inlineStr">
        <is>
          <t>jfra_0099@hotmail.com</t>
        </is>
      </c>
      <c r="AJ13" s="48" t="inlineStr">
        <is>
          <t>soltero</t>
        </is>
      </c>
      <c r="AK13" s="88" t="inlineStr">
        <is>
          <t>C/. Eugenio Garcia Estop 16, 4ºD de Badajoz</t>
        </is>
      </c>
      <c r="AL13" s="32" t="n"/>
      <c r="AM13" s="33" t="inlineStr">
        <is>
          <t>no</t>
        </is>
      </c>
      <c r="AN13" s="33" t="n">
        <v>31</v>
      </c>
      <c r="AO13" s="33" t="inlineStr">
        <is>
          <t>Medico</t>
        </is>
      </c>
      <c r="AP13" s="33" t="n">
        <v>3000</v>
      </c>
      <c r="AQ13" s="33" t="n">
        <v>33</v>
      </c>
      <c r="AR13" s="33" t="inlineStr">
        <is>
          <t>Maestro</t>
        </is>
      </c>
      <c r="AS13" s="33" t="n">
        <v>2300</v>
      </c>
      <c r="AT13" s="49" t="n">
        <v>0.8</v>
      </c>
      <c r="AU13" s="33" t="inlineStr">
        <is>
          <t>No</t>
        </is>
      </c>
      <c r="AV13" s="33" t="inlineStr">
        <is>
          <t>1ª vivienda</t>
        </is>
      </c>
      <c r="AW13" s="33" t="n"/>
      <c r="AX13" s="33" t="inlineStr">
        <is>
          <t>Ronda Norte</t>
        </is>
      </c>
      <c r="BB13">
        <f>IF(A13="RESERVADO",S13,"LIBRE")</f>
        <v/>
      </c>
      <c r="BC13" s="218" t="inlineStr">
        <is>
          <t>ES57 0128 0060 5101 0005 4931</t>
        </is>
      </c>
    </row>
    <row r="14" ht="15.75" customHeight="1">
      <c r="A14" s="31" t="inlineStr">
        <is>
          <t>RESERVADO</t>
        </is>
      </c>
      <c r="B14" s="416" t="inlineStr">
        <is>
          <t>027/05/2023</t>
        </is>
      </c>
      <c r="C14" s="416" t="n">
        <v>45534</v>
      </c>
      <c r="E14" s="239" t="n">
        <v>3</v>
      </c>
      <c r="F14" s="35" t="n">
        <v>1</v>
      </c>
      <c r="G14" s="36" t="inlineStr">
        <is>
          <t>BAJA</t>
        </is>
      </c>
      <c r="H14" s="36" t="inlineStr">
        <is>
          <t>C</t>
        </is>
      </c>
      <c r="I14" s="36" t="n">
        <v>2</v>
      </c>
      <c r="J14" s="223" t="inlineStr">
        <is>
          <t>NO</t>
        </is>
      </c>
      <c r="K14" s="223" t="n">
        <v>49</v>
      </c>
      <c r="L14" s="36" t="inlineStr">
        <is>
          <t>.</t>
        </is>
      </c>
      <c r="M14" s="36" t="n"/>
      <c r="N14" s="37" t="n">
        <v>73.05</v>
      </c>
      <c r="O14" s="37" t="n">
        <v>3.3</v>
      </c>
      <c r="P14" s="37" t="n">
        <v>76.34999999999999</v>
      </c>
      <c r="Q14" s="38" t="n">
        <v>89.43000000000001</v>
      </c>
      <c r="R14" s="37" t="n">
        <v>0</v>
      </c>
      <c r="S14" s="39" t="n">
        <v>153000</v>
      </c>
      <c r="T14" s="41" t="n">
        <v>15300</v>
      </c>
      <c r="U14" s="365" t="n">
        <v>168300</v>
      </c>
      <c r="V14" s="70" t="n">
        <v>4950</v>
      </c>
      <c r="W14" s="70" t="n">
        <v>13563</v>
      </c>
      <c r="X14" s="42" t="n">
        <v>6732</v>
      </c>
      <c r="Y14" s="42" t="n">
        <v>20655</v>
      </c>
      <c r="Z14" s="334" t="n">
        <v>122400</v>
      </c>
      <c r="AA14" s="495">
        <f>AA13+2</f>
        <v/>
      </c>
      <c r="AB14" s="43" t="inlineStr">
        <is>
          <t>ISABEL PEREZ CORRALES</t>
        </is>
      </c>
      <c r="AC14" s="44" t="n"/>
      <c r="AD14" s="45" t="n"/>
      <c r="AE14" s="48" t="inlineStr">
        <is>
          <t>isabelperez57@hotmail.com</t>
        </is>
      </c>
      <c r="AF14" s="46" t="n"/>
      <c r="AG14" s="46" t="n"/>
      <c r="AH14" s="47" t="n"/>
      <c r="AI14" s="257" t="n"/>
      <c r="AJ14" s="48" t="n"/>
      <c r="AK14" s="88" t="inlineStr">
        <is>
          <t>C/. Clavellinas 25, 1ºC de Badajoz</t>
        </is>
      </c>
      <c r="AL14" s="32" t="n"/>
      <c r="AM14" s="33" t="inlineStr">
        <is>
          <t>no</t>
        </is>
      </c>
      <c r="AN14" s="33" t="n">
        <v>63</v>
      </c>
      <c r="AO14" s="33" t="inlineStr">
        <is>
          <t>Funcionario</t>
        </is>
      </c>
      <c r="AP14" s="33" t="n">
        <v>1500</v>
      </c>
      <c r="AQ14" s="33" t="n"/>
      <c r="AR14" s="33" t="n"/>
      <c r="AS14" s="33" t="n"/>
      <c r="AT14" s="49" t="n">
        <v>0</v>
      </c>
      <c r="AU14" s="33" t="inlineStr">
        <is>
          <t>no</t>
        </is>
      </c>
      <c r="AV14" s="33" t="inlineStr">
        <is>
          <t>Reposicion</t>
        </is>
      </c>
      <c r="AW14" s="33" t="n"/>
      <c r="AX14" s="33" t="inlineStr">
        <is>
          <t>Ciudad Jardin</t>
        </is>
      </c>
      <c r="BB14">
        <f>IF(A14="RESERVADO",S14,"LIBRE")</f>
        <v/>
      </c>
      <c r="BC14" s="218" t="inlineStr">
        <is>
          <t>ES36 0182 0386 5702 0800 0441</t>
        </is>
      </c>
    </row>
    <row r="15" ht="14.25" customHeight="1">
      <c r="A15" s="88" t="inlineStr">
        <is>
          <t>RESERVADO</t>
        </is>
      </c>
      <c r="B15" s="416" t="n">
        <v>45336</v>
      </c>
      <c r="C15" s="416" t="n">
        <v>45392</v>
      </c>
      <c r="D15" s="353" t="n"/>
      <c r="E15" s="239" t="n">
        <v>4</v>
      </c>
      <c r="F15" s="35" t="n">
        <v>1</v>
      </c>
      <c r="G15" s="36" t="inlineStr">
        <is>
          <t xml:space="preserve">BAJA </t>
        </is>
      </c>
      <c r="H15" s="36" t="inlineStr">
        <is>
          <t>D</t>
        </is>
      </c>
      <c r="I15" s="36" t="n">
        <v>2</v>
      </c>
      <c r="J15" s="36" t="n">
        <v>40</v>
      </c>
      <c r="K15" s="36" t="n">
        <v>60</v>
      </c>
      <c r="L15" s="36" t="inlineStr">
        <is>
          <t>.</t>
        </is>
      </c>
      <c r="M15" s="36" t="inlineStr">
        <is>
          <t>.</t>
        </is>
      </c>
      <c r="N15" s="37" t="n">
        <v>70.72</v>
      </c>
      <c r="O15" s="50" t="n">
        <v>0</v>
      </c>
      <c r="P15" s="37" t="n">
        <v>70.72</v>
      </c>
      <c r="Q15" s="51" t="n">
        <v>85.23999999999999</v>
      </c>
      <c r="R15" s="37" t="n">
        <v>15.23</v>
      </c>
      <c r="S15" s="39" t="n">
        <v>178000</v>
      </c>
      <c r="T15" s="41" t="n">
        <v>17800</v>
      </c>
      <c r="U15" s="365" t="n">
        <v>195800</v>
      </c>
      <c r="V15" s="41" t="n">
        <v>5874</v>
      </c>
      <c r="W15" s="70" t="n">
        <v>19580</v>
      </c>
      <c r="X15" s="42" t="n">
        <v>5874</v>
      </c>
      <c r="Y15" s="42" t="n">
        <v>22072</v>
      </c>
      <c r="Z15" s="334" t="n">
        <v>142400</v>
      </c>
      <c r="AA15" s="495">
        <f>AA14+2</f>
        <v/>
      </c>
      <c r="AB15" s="219" t="inlineStr">
        <is>
          <t>ISIDORA ROMERO MARTIN</t>
        </is>
      </c>
      <c r="AC15" s="44" t="n"/>
      <c r="AD15" s="45" t="n"/>
      <c r="AE15" s="48" t="inlineStr">
        <is>
          <t>isiromeromartin@hotmail.com</t>
        </is>
      </c>
      <c r="AF15" s="30" t="inlineStr">
        <is>
          <t>…..............</t>
        </is>
      </c>
      <c r="AG15" s="46" t="n"/>
      <c r="AH15" s="47" t="n"/>
      <c r="AI15" s="87" t="n"/>
      <c r="AJ15" s="30" t="n"/>
      <c r="AK15" s="88" t="inlineStr">
        <is>
          <t>C/. Ramón y Cajal 15, Monterrubio de la Serena (Badajoz)</t>
        </is>
      </c>
      <c r="AL15" s="32" t="n"/>
      <c r="AM15" s="33" t="n"/>
      <c r="AN15" s="33" t="n">
        <v>52</v>
      </c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BB15">
        <f>IF(A15="RESERVADO",S15,"LIBRE")</f>
        <v/>
      </c>
      <c r="BC15" s="218" t="inlineStr">
        <is>
          <t xml:space="preserve">ES70 2103 7308 9100 1002 6799 </t>
        </is>
      </c>
    </row>
    <row r="16" ht="15.75" customHeight="1" thickBot="1">
      <c r="A16" s="442" t="inlineStr">
        <is>
          <t>RESERVADO</t>
        </is>
      </c>
      <c r="B16" s="99" t="n"/>
      <c r="C16" s="419" t="n">
        <v>45842</v>
      </c>
      <c r="E16" s="239" t="n">
        <v>5</v>
      </c>
      <c r="F16" s="35" t="n">
        <v>1</v>
      </c>
      <c r="G16" s="36" t="inlineStr">
        <is>
          <t>BAJA</t>
        </is>
      </c>
      <c r="H16" s="36" t="inlineStr">
        <is>
          <t>E</t>
        </is>
      </c>
      <c r="I16" s="36" t="n">
        <v>2</v>
      </c>
      <c r="J16" s="36" t="n">
        <v>42</v>
      </c>
      <c r="K16" s="36" t="n">
        <v>18</v>
      </c>
      <c r="L16" s="36" t="inlineStr">
        <is>
          <t>.</t>
        </is>
      </c>
      <c r="M16" s="36" t="inlineStr">
        <is>
          <t>.</t>
        </is>
      </c>
      <c r="N16" s="54" t="n">
        <v>67.94</v>
      </c>
      <c r="O16" s="54" t="n">
        <v>0</v>
      </c>
      <c r="P16" s="54" t="n">
        <v>67.94</v>
      </c>
      <c r="Q16" s="55" t="n">
        <v>79.14</v>
      </c>
      <c r="R16" s="55" t="n">
        <v>29.89</v>
      </c>
      <c r="S16" s="436" t="n">
        <v>215000</v>
      </c>
      <c r="T16" s="104" t="n">
        <v>21500</v>
      </c>
      <c r="U16" s="366" t="n">
        <v>236500</v>
      </c>
      <c r="V16" s="58" t="n">
        <v>0</v>
      </c>
      <c r="W16" s="96" t="n">
        <v>28380</v>
      </c>
      <c r="X16" s="58" t="n">
        <v>7095</v>
      </c>
      <c r="Y16" s="58" t="n">
        <v>29025</v>
      </c>
      <c r="Z16" s="335" t="n">
        <v>172000</v>
      </c>
      <c r="AA16" s="495">
        <f>AA15+2</f>
        <v/>
      </c>
      <c r="AB16" s="219" t="inlineStr">
        <is>
          <t>JOKIN MIRAGAYA FERNANDEZ</t>
        </is>
      </c>
      <c r="AC16" s="44" t="n"/>
      <c r="AD16" s="45" t="n"/>
      <c r="AE16" s="48" t="inlineStr">
        <is>
          <t>jokin.miragaya@gmail.com</t>
        </is>
      </c>
      <c r="AF16" s="30" t="inlineStr">
        <is>
          <t>MARIA FERNANDEZ ROMERO</t>
        </is>
      </c>
      <c r="AG16" s="46" t="n"/>
      <c r="AH16" s="47" t="n"/>
      <c r="AI16" s="87" t="n"/>
      <c r="AJ16" s="30" t="inlineStr">
        <is>
          <t>casados</t>
        </is>
      </c>
      <c r="AK16" s="88" t="inlineStr">
        <is>
          <t>C/. GRPO. ALDATZE ETXADIA 21C - GALDAKAO (BIZKAIA)</t>
        </is>
      </c>
      <c r="BB16">
        <f>IF(A16="RESERVADO",S16,"LIBRE")</f>
        <v/>
      </c>
      <c r="BC16" s="218" t="inlineStr">
        <is>
          <t>ES43 3035 0424 85 42410 36701</t>
        </is>
      </c>
    </row>
    <row r="17" ht="12" customHeight="1">
      <c r="A17" s="31" t="inlineStr">
        <is>
          <t>RESERVADO</t>
        </is>
      </c>
      <c r="B17" s="417" t="n">
        <v>45356</v>
      </c>
      <c r="C17" s="417" t="n">
        <v>45383</v>
      </c>
      <c r="E17" s="240" t="n">
        <v>6</v>
      </c>
      <c r="F17" s="59" t="n">
        <v>1</v>
      </c>
      <c r="G17" s="60" t="n">
        <v>1</v>
      </c>
      <c r="H17" s="60" t="inlineStr">
        <is>
          <t>A</t>
        </is>
      </c>
      <c r="I17" s="60" t="n">
        <v>4</v>
      </c>
      <c r="J17" s="60" t="n">
        <v>9</v>
      </c>
      <c r="K17" s="60" t="n">
        <v>13</v>
      </c>
      <c r="L17" s="60" t="inlineStr">
        <is>
          <t>-</t>
        </is>
      </c>
      <c r="M17" s="60" t="inlineStr">
        <is>
          <t>.</t>
        </is>
      </c>
      <c r="N17" s="61" t="n">
        <v>111.09</v>
      </c>
      <c r="O17" s="61" t="n">
        <v>10.13</v>
      </c>
      <c r="P17" s="61" t="n">
        <v>121.22</v>
      </c>
      <c r="Q17" s="62" t="n">
        <v>142.57</v>
      </c>
      <c r="R17" s="64" t="n"/>
      <c r="S17" s="65" t="n">
        <v>303400</v>
      </c>
      <c r="T17" s="86" t="n">
        <v>30340</v>
      </c>
      <c r="U17" s="367" t="n">
        <v>333740</v>
      </c>
      <c r="V17" s="97" t="n">
        <v>10012.2</v>
      </c>
      <c r="W17" s="97" t="n">
        <v>33374</v>
      </c>
      <c r="X17" s="67" t="n">
        <v>16687</v>
      </c>
      <c r="Y17" s="67" t="n">
        <v>30946.79999999999</v>
      </c>
      <c r="Z17" s="336" t="n">
        <v>242720</v>
      </c>
      <c r="AA17" s="495">
        <f>AA16+2</f>
        <v/>
      </c>
      <c r="AB17" s="219" t="inlineStr">
        <is>
          <t>JOSE MARIA PRUDENCIO ALONSO</t>
        </is>
      </c>
      <c r="AC17" s="72" t="n"/>
      <c r="AD17" s="45" t="n"/>
      <c r="AE17" s="30" t="n"/>
      <c r="AF17" s="30" t="inlineStr">
        <is>
          <t>ANTONIA HERMOSA LOPEZ</t>
        </is>
      </c>
      <c r="AG17" s="30" t="n"/>
      <c r="AH17" s="47" t="n"/>
      <c r="AI17" s="87" t="inlineStr">
        <is>
          <t>hermosalopezantonia@gmail.com</t>
        </is>
      </c>
      <c r="AJ17" s="30" t="inlineStr">
        <is>
          <t>casados</t>
        </is>
      </c>
      <c r="AK17" s="88" t="inlineStr">
        <is>
          <t>C/. Castillo de Alconchel 26, 5, 1ºD</t>
        </is>
      </c>
      <c r="AL17" s="32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BB17">
        <f>IF(A17="RESERVADO",S17,"LIBRE")</f>
        <v/>
      </c>
      <c r="BC17" s="218" t="inlineStr">
        <is>
          <t xml:space="preserve">ES54 2085 4508 3103 3145 5319  </t>
        </is>
      </c>
    </row>
    <row r="18">
      <c r="A18" s="442" t="inlineStr">
        <is>
          <t>RESERVADO</t>
        </is>
      </c>
      <c r="B18" s="420" t="n"/>
      <c r="C18" s="421" t="n">
        <v>45903</v>
      </c>
      <c r="E18" s="239" t="n">
        <v>7</v>
      </c>
      <c r="F18" s="35" t="n">
        <v>1</v>
      </c>
      <c r="G18" s="36" t="n">
        <v>1</v>
      </c>
      <c r="H18" s="36" t="inlineStr">
        <is>
          <t>B</t>
        </is>
      </c>
      <c r="I18" s="36" t="n">
        <v>3</v>
      </c>
      <c r="J18" s="68" t="n">
        <v>12</v>
      </c>
      <c r="K18" s="36" t="n">
        <v>16</v>
      </c>
      <c r="L18" s="36" t="inlineStr">
        <is>
          <t>.</t>
        </is>
      </c>
      <c r="M18" s="36" t="inlineStr">
        <is>
          <t>.</t>
        </is>
      </c>
      <c r="N18" s="37" t="n">
        <v>93.26000000000001</v>
      </c>
      <c r="O18" s="37" t="n">
        <v>5.77</v>
      </c>
      <c r="P18" s="37" t="n">
        <v>99.03</v>
      </c>
      <c r="Q18" s="51" t="n">
        <v>115.43</v>
      </c>
      <c r="R18" s="69" t="n"/>
      <c r="S18" s="437" t="n">
        <v>262000</v>
      </c>
      <c r="T18" s="41" t="n">
        <v>26200</v>
      </c>
      <c r="U18" s="365" t="n">
        <v>288200</v>
      </c>
      <c r="V18" s="42" t="n">
        <v>0</v>
      </c>
      <c r="W18" s="70" t="n">
        <v>34584</v>
      </c>
      <c r="X18" s="42" t="n">
        <v>8646</v>
      </c>
      <c r="Y18" s="42" t="n">
        <v>35370</v>
      </c>
      <c r="Z18" s="334" t="n">
        <v>209600</v>
      </c>
      <c r="AA18" s="495">
        <f>AA17+2</f>
        <v/>
      </c>
      <c r="AB18" s="219" t="inlineStr">
        <is>
          <t>ANA BELEN GOMEZ CABELLO</t>
        </is>
      </c>
      <c r="AC18" s="72" t="n"/>
      <c r="AD18" s="45" t="n"/>
      <c r="AE18" s="30" t="inlineStr">
        <is>
          <t>ana.cab.gom@hotmail.com</t>
        </is>
      </c>
      <c r="AF18" s="30" t="n"/>
      <c r="AG18" s="30" t="n"/>
      <c r="AH18" s="47" t="n"/>
      <c r="AI18" s="87" t="n"/>
      <c r="AJ18" s="30" t="inlineStr">
        <is>
          <t>soltera</t>
        </is>
      </c>
      <c r="AK18" s="88" t="inlineStr">
        <is>
          <t>C/ RAFAEL LUCENQUI 8, LOCAL ACADEMIA EDUCO 06004</t>
        </is>
      </c>
      <c r="AL18" s="32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BB18">
        <f>IF(A18="RESERVADO",S18,"LIBRE")</f>
        <v/>
      </c>
      <c r="BC18" s="218" t="inlineStr">
        <is>
          <t>ES71 1465 0100 9520 5664 0765</t>
        </is>
      </c>
    </row>
    <row r="19" ht="14.25" customHeight="1">
      <c r="A19" s="31" t="inlineStr">
        <is>
          <t>RESERVADO</t>
        </is>
      </c>
      <c r="B19" s="417" t="n">
        <v>44720</v>
      </c>
      <c r="C19" s="417" t="n">
        <v>45415</v>
      </c>
      <c r="E19" s="239" t="n">
        <v>8</v>
      </c>
      <c r="F19" s="35" t="n">
        <v>1</v>
      </c>
      <c r="G19" s="36" t="n">
        <v>1</v>
      </c>
      <c r="H19" s="36" t="inlineStr">
        <is>
          <t>C</t>
        </is>
      </c>
      <c r="I19" s="36" t="n">
        <v>2</v>
      </c>
      <c r="J19" s="36" t="n">
        <v>54</v>
      </c>
      <c r="K19" s="36" t="n">
        <v>48</v>
      </c>
      <c r="L19" s="36" t="inlineStr">
        <is>
          <t>.</t>
        </is>
      </c>
      <c r="M19" s="36" t="inlineStr">
        <is>
          <t>.</t>
        </is>
      </c>
      <c r="N19" s="37" t="n">
        <v>71.38</v>
      </c>
      <c r="O19" s="37" t="n">
        <v>4.35</v>
      </c>
      <c r="P19" s="37" t="n">
        <v>75.72999999999999</v>
      </c>
      <c r="Q19" s="37" t="n">
        <v>87.48</v>
      </c>
      <c r="R19" s="69" t="n"/>
      <c r="S19" s="39" t="n">
        <v>173818</v>
      </c>
      <c r="T19" s="41" t="n">
        <v>17381.8</v>
      </c>
      <c r="U19" s="365" t="n">
        <v>191199.8</v>
      </c>
      <c r="V19" s="70" t="n">
        <v>9724</v>
      </c>
      <c r="W19" s="70" t="n">
        <v>19119.99</v>
      </c>
      <c r="X19" s="42" t="n">
        <v>9396</v>
      </c>
      <c r="Y19" s="42" t="n">
        <v>13905.41</v>
      </c>
      <c r="Z19" s="334" t="n">
        <v>139054.4</v>
      </c>
      <c r="AA19" s="495">
        <f>AA18+2</f>
        <v/>
      </c>
      <c r="AB19" s="43" t="inlineStr">
        <is>
          <t>AMALIA CABANILLAS</t>
        </is>
      </c>
      <c r="AC19" s="44" t="n"/>
      <c r="AD19" s="45" t="n"/>
      <c r="AE19" s="245" t="inlineStr">
        <is>
          <t>amaliaahabilitados@gmail.com</t>
        </is>
      </c>
      <c r="AF19" s="46" t="inlineStr">
        <is>
          <t>PABLO JOSE DIAZ MARCOS</t>
        </is>
      </c>
      <c r="AG19" s="46" t="n"/>
      <c r="AH19" s="47" t="n"/>
      <c r="AI19" s="257" t="inlineStr">
        <is>
          <t>pablojosediaz@yahoo.es</t>
        </is>
      </c>
      <c r="AJ19" s="48" t="inlineStr">
        <is>
          <t>soltero</t>
        </is>
      </c>
      <c r="AK19" s="88" t="inlineStr">
        <is>
          <t>C/. Castillo de Zafra 3, 3ªB</t>
        </is>
      </c>
      <c r="AL19" s="32" t="n"/>
      <c r="AM19" s="33" t="inlineStr">
        <is>
          <t>no</t>
        </is>
      </c>
      <c r="AN19" s="33" t="n">
        <v>49</v>
      </c>
      <c r="AO19" s="33" t="inlineStr">
        <is>
          <t>Abogada</t>
        </is>
      </c>
      <c r="AP19" s="33" t="n">
        <v>1800</v>
      </c>
      <c r="AQ19" s="33" t="n">
        <v>47</v>
      </c>
      <c r="AR19" s="33" t="inlineStr">
        <is>
          <t>Empresario</t>
        </is>
      </c>
      <c r="AS19" s="33" t="n">
        <v>3000</v>
      </c>
      <c r="AT19" s="49" t="n">
        <v>0.8</v>
      </c>
      <c r="AU19" s="33" t="inlineStr">
        <is>
          <t>no</t>
        </is>
      </c>
      <c r="AV19" s="33" t="inlineStr">
        <is>
          <t>Reposición</t>
        </is>
      </c>
      <c r="AW19" s="33" t="inlineStr">
        <is>
          <t>Mejora</t>
        </is>
      </c>
      <c r="AX19" s="33" t="inlineStr">
        <is>
          <t>U. Guadiana</t>
        </is>
      </c>
      <c r="BB19">
        <f>IF(A19="RESERVADO",S19,"LIBRE")</f>
        <v/>
      </c>
      <c r="BC19" s="218" t="inlineStr">
        <is>
          <t xml:space="preserve"> ES17 1465 0100 94 1753450826 </t>
        </is>
      </c>
    </row>
    <row r="20" ht="14.25" customHeight="1">
      <c r="A20" s="442" t="inlineStr">
        <is>
          <t>RESERVADO</t>
        </is>
      </c>
      <c r="B20" s="33" t="n"/>
      <c r="C20" s="417" t="n">
        <v>46008</v>
      </c>
      <c r="E20" s="239" t="n">
        <v>9</v>
      </c>
      <c r="F20" s="35" t="n">
        <v>1</v>
      </c>
      <c r="G20" s="36" t="n">
        <v>1</v>
      </c>
      <c r="H20" s="36" t="inlineStr">
        <is>
          <t>D</t>
        </is>
      </c>
      <c r="I20" s="36" t="n">
        <v>2</v>
      </c>
      <c r="J20" s="36" t="n">
        <v>10</v>
      </c>
      <c r="K20" s="36" t="n">
        <v>14</v>
      </c>
      <c r="L20" s="36" t="inlineStr">
        <is>
          <t>.</t>
        </is>
      </c>
      <c r="M20" s="36" t="inlineStr">
        <is>
          <t>.</t>
        </is>
      </c>
      <c r="N20" s="71" t="n">
        <v>64.33</v>
      </c>
      <c r="O20" s="71" t="n">
        <v>2.04</v>
      </c>
      <c r="P20" s="71" t="n">
        <v>66.37</v>
      </c>
      <c r="Q20" s="71" t="n">
        <v>77.92</v>
      </c>
      <c r="R20" s="69" t="n"/>
      <c r="S20" s="437" t="n">
        <v>209000</v>
      </c>
      <c r="T20" s="41" t="n">
        <v>20900</v>
      </c>
      <c r="U20" s="365" t="n">
        <v>229900</v>
      </c>
      <c r="V20" s="42" t="n">
        <v>0</v>
      </c>
      <c r="W20" s="70" t="n">
        <v>34485</v>
      </c>
      <c r="X20" s="42" t="n">
        <v>0</v>
      </c>
      <c r="Y20" s="42" t="n">
        <v>28215</v>
      </c>
      <c r="Z20" s="334" t="n">
        <v>167200</v>
      </c>
      <c r="AA20" s="495">
        <f>AA19+2</f>
        <v/>
      </c>
      <c r="AB20" s="43" t="inlineStr">
        <is>
          <t>JACINTA GALLEGO SANCHEZ</t>
        </is>
      </c>
      <c r="AC20" s="72" t="n"/>
      <c r="AD20" s="45" t="n"/>
      <c r="AE20" s="245" t="inlineStr">
        <is>
          <t>jacintagallego20@gmail.com</t>
        </is>
      </c>
      <c r="AF20" s="30" t="n"/>
      <c r="AG20" s="30" t="n"/>
      <c r="AH20" s="47" t="n"/>
      <c r="AI20" s="87" t="n"/>
      <c r="AJ20" s="30" t="n"/>
      <c r="AK20" s="88" t="inlineStr">
        <is>
          <t>C/. Julio Cinfuegos Linares  12, 3ºA - Badajoz</t>
        </is>
      </c>
      <c r="AL20" s="32" t="n"/>
      <c r="AM20" s="33" t="n"/>
      <c r="AN20" s="33" t="n"/>
      <c r="AO20" s="33" t="n"/>
      <c r="AP20" s="33" t="n"/>
      <c r="AQ20" s="33" t="n"/>
      <c r="AR20" s="33" t="n"/>
      <c r="AS20" s="33" t="n"/>
      <c r="AT20" s="73" t="n"/>
      <c r="AU20" s="33" t="n"/>
      <c r="AV20" s="33" t="n"/>
      <c r="AW20" s="33" t="n"/>
      <c r="AX20" s="33" t="n"/>
      <c r="BB20">
        <f>IF(A20="RESERVADO",S20,"LIBRE")</f>
        <v/>
      </c>
      <c r="BC20" s="218" t="n"/>
    </row>
    <row r="21">
      <c r="A21" s="88" t="inlineStr">
        <is>
          <t>RESERVADO</t>
        </is>
      </c>
      <c r="B21" s="421" t="n">
        <v>45194</v>
      </c>
      <c r="C21" s="416" t="n">
        <v>45401</v>
      </c>
      <c r="E21" s="239" t="n">
        <v>10</v>
      </c>
      <c r="F21" s="74" t="n">
        <v>1</v>
      </c>
      <c r="G21" s="75" t="n">
        <v>1</v>
      </c>
      <c r="H21" s="75" t="inlineStr">
        <is>
          <t>E</t>
        </is>
      </c>
      <c r="I21" s="75" t="n">
        <v>2</v>
      </c>
      <c r="J21" s="68" t="n">
        <v>48</v>
      </c>
      <c r="K21" s="36" t="inlineStr">
        <is>
          <t>.</t>
        </is>
      </c>
      <c r="L21" s="36" t="inlineStr">
        <is>
          <t>.</t>
        </is>
      </c>
      <c r="M21" s="36" t="inlineStr">
        <is>
          <t>.</t>
        </is>
      </c>
      <c r="N21" s="76" t="n">
        <v>67.18000000000001</v>
      </c>
      <c r="O21" s="76" t="n">
        <v>3</v>
      </c>
      <c r="P21" s="76" t="n">
        <v>70.18000000000001</v>
      </c>
      <c r="Q21" s="77" t="n">
        <v>85.31999999999999</v>
      </c>
      <c r="R21" s="78" t="n"/>
      <c r="S21" s="79" t="n">
        <v>178000</v>
      </c>
      <c r="T21" s="41" t="n">
        <v>17800</v>
      </c>
      <c r="U21" s="365" t="n">
        <v>195800</v>
      </c>
      <c r="V21" s="70" t="n">
        <v>6280</v>
      </c>
      <c r="W21" s="70" t="n">
        <v>19580</v>
      </c>
      <c r="X21" s="42" t="n">
        <v>9790</v>
      </c>
      <c r="Y21" s="42" t="n">
        <v>17750</v>
      </c>
      <c r="Z21" s="334" t="n">
        <v>142400</v>
      </c>
      <c r="AA21" s="495">
        <f>AA20+2</f>
        <v/>
      </c>
      <c r="AB21" s="219" t="inlineStr">
        <is>
          <t>VICTOR JOSE ROJAS MORENO</t>
        </is>
      </c>
      <c r="AC21" s="243" t="n"/>
      <c r="AD21" s="244" t="n"/>
      <c r="AE21" s="48" t="inlineStr">
        <is>
          <t>v.rojas@cnat.es</t>
        </is>
      </c>
      <c r="AF21" s="246" t="n"/>
      <c r="AG21" s="246" t="n"/>
      <c r="AH21" s="247" t="n"/>
      <c r="AI21" s="248" t="n"/>
      <c r="AJ21" s="246" t="n"/>
      <c r="AK21" s="249" t="inlineStr">
        <is>
          <t>C/. Antonio Concha 78, 5, Navalmoral de la Mata (CC)</t>
        </is>
      </c>
      <c r="AL21" s="32" t="n"/>
      <c r="AM21" s="33" t="n"/>
      <c r="AN21" s="33" t="n">
        <v>45</v>
      </c>
      <c r="AO21" s="33" t="inlineStr">
        <is>
          <t>Trab. Central Nuclear</t>
        </is>
      </c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BB21">
        <f>IF(A21="RESERVADO",S21,"LIBRE")</f>
        <v/>
      </c>
      <c r="BC21" s="218" t="inlineStr">
        <is>
          <t>ES04 0049 2522 6421 1509 5944</t>
        </is>
      </c>
    </row>
    <row r="22" ht="15.75" customHeight="1" thickBot="1">
      <c r="A22" s="422" t="inlineStr">
        <is>
          <t>RESERVADO</t>
        </is>
      </c>
      <c r="B22" s="423" t="inlineStr">
        <is>
          <t>…............</t>
        </is>
      </c>
      <c r="C22" s="424" t="n">
        <v>45490</v>
      </c>
      <c r="E22" s="241" t="n">
        <v>11</v>
      </c>
      <c r="F22" s="81" t="n">
        <v>1</v>
      </c>
      <c r="G22" s="82" t="n">
        <v>1</v>
      </c>
      <c r="H22" s="53" t="inlineStr">
        <is>
          <t>F</t>
        </is>
      </c>
      <c r="I22" s="53" t="n">
        <v>2</v>
      </c>
      <c r="J22" s="53" t="n">
        <v>14</v>
      </c>
      <c r="K22" s="53" t="n">
        <v>21</v>
      </c>
      <c r="L22" s="53" t="inlineStr">
        <is>
          <t>.</t>
        </is>
      </c>
      <c r="M22" s="53" t="inlineStr">
        <is>
          <t>.</t>
        </is>
      </c>
      <c r="N22" s="71" t="n">
        <v>67.94</v>
      </c>
      <c r="O22" s="71" t="n">
        <v>3.62</v>
      </c>
      <c r="P22" s="71" t="n">
        <v>71.56</v>
      </c>
      <c r="Q22" s="83" t="n">
        <v>82.42</v>
      </c>
      <c r="R22" s="84" t="n"/>
      <c r="S22" s="85" t="n">
        <v>185000</v>
      </c>
      <c r="T22" s="104" t="n">
        <v>18500</v>
      </c>
      <c r="U22" s="366" t="n">
        <v>203500</v>
      </c>
      <c r="V22" s="58" t="n">
        <v>0</v>
      </c>
      <c r="W22" s="58" t="n">
        <v>22385</v>
      </c>
      <c r="X22" s="58" t="n">
        <v>9157.5</v>
      </c>
      <c r="Y22" s="58" t="n">
        <v>23957.5</v>
      </c>
      <c r="Z22" s="335" t="n">
        <v>148000</v>
      </c>
      <c r="AA22" s="495">
        <f>AA21+2</f>
        <v/>
      </c>
      <c r="AB22" s="219" t="inlineStr">
        <is>
          <t>JUAN MANUEL DURAN GUERRERO</t>
        </is>
      </c>
      <c r="AC22" s="72" t="n"/>
      <c r="AD22" s="45" t="n"/>
      <c r="AE22" s="30" t="inlineStr">
        <is>
          <t>madugue@hotmail.com</t>
        </is>
      </c>
      <c r="AF22" s="30" t="inlineStr">
        <is>
          <t>MARIA JOSE JIMENEZ MURIEL</t>
        </is>
      </c>
      <c r="AG22" s="30" t="n"/>
      <c r="AH22" s="47" t="n"/>
      <c r="AI22" s="87" t="n"/>
      <c r="AJ22" s="30" t="n"/>
      <c r="AK22" s="88" t="inlineStr">
        <is>
          <t>Travesia Arturo Barea 28, Merida (Badajoz)</t>
        </is>
      </c>
      <c r="AL22" s="32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BB22">
        <f>IF(A22="RESERVADO",S22,"LIBRE")</f>
        <v/>
      </c>
      <c r="BC22" s="218" t="inlineStr">
        <is>
          <t>ES87 3009 0010 5221 1675 0429</t>
        </is>
      </c>
    </row>
    <row r="23" ht="14.25" customHeight="1">
      <c r="A23" s="31" t="inlineStr">
        <is>
          <t>RESERVADO</t>
        </is>
      </c>
      <c r="B23" s="417" t="n">
        <v>44642</v>
      </c>
      <c r="C23" s="417" t="n">
        <v>45371</v>
      </c>
      <c r="E23" s="240" t="n">
        <v>12</v>
      </c>
      <c r="F23" s="59" t="n">
        <v>1</v>
      </c>
      <c r="G23" s="60" t="n">
        <v>2</v>
      </c>
      <c r="H23" s="60" t="inlineStr">
        <is>
          <t>A</t>
        </is>
      </c>
      <c r="I23" s="60" t="n">
        <v>4</v>
      </c>
      <c r="J23" s="60" t="n">
        <v>60</v>
      </c>
      <c r="K23" s="60" t="n">
        <v>54</v>
      </c>
      <c r="L23" s="60" t="inlineStr">
        <is>
          <t>.</t>
        </is>
      </c>
      <c r="M23" s="60" t="inlineStr">
        <is>
          <t>.</t>
        </is>
      </c>
      <c r="N23" s="61" t="n">
        <v>110.85</v>
      </c>
      <c r="O23" s="61" t="n">
        <v>10.78</v>
      </c>
      <c r="P23" s="61" t="n">
        <v>121.63</v>
      </c>
      <c r="Q23" s="62" t="n">
        <v>143.26</v>
      </c>
      <c r="R23" s="64" t="n"/>
      <c r="S23" s="65" t="n">
        <v>279900</v>
      </c>
      <c r="T23" s="86" t="n">
        <v>27990</v>
      </c>
      <c r="U23" s="367" t="n">
        <v>307890</v>
      </c>
      <c r="V23" s="86" t="n">
        <v>9236.699999999999</v>
      </c>
      <c r="W23" s="97" t="n">
        <v>30789</v>
      </c>
      <c r="X23" s="67" t="n">
        <v>15394.5</v>
      </c>
      <c r="Y23" s="67" t="n">
        <v>28549.8</v>
      </c>
      <c r="Z23" s="336" t="n">
        <v>223920</v>
      </c>
      <c r="AA23" s="495">
        <f>AA22+2</f>
        <v/>
      </c>
      <c r="AB23" s="43" t="inlineStr">
        <is>
          <t>IGNACIO AMARO BLANCO</t>
        </is>
      </c>
      <c r="AC23" s="44" t="n"/>
      <c r="AD23" s="45" t="n"/>
      <c r="AE23" s="30" t="inlineStr">
        <is>
          <t>iamaroblanco@gmail.com</t>
        </is>
      </c>
      <c r="AF23" s="46" t="inlineStr">
        <is>
          <t>ALBA GONZALEZ HABA MARTINEZ</t>
        </is>
      </c>
      <c r="AG23" s="46" t="n"/>
      <c r="AH23" s="47" t="n"/>
      <c r="AI23" s="87" t="inlineStr">
        <is>
          <t>alba.ghm@gmail.com</t>
        </is>
      </c>
      <c r="AJ23" s="30" t="inlineStr">
        <is>
          <t>casados</t>
        </is>
      </c>
      <c r="AK23" s="88" t="inlineStr">
        <is>
          <t>C/. Antonio de Nebrija, 6 A, 2 esc izq, 1ºB de Badajoz</t>
        </is>
      </c>
      <c r="AL23" s="89" t="n"/>
      <c r="AM23" s="90" t="inlineStr">
        <is>
          <t>no</t>
        </is>
      </c>
      <c r="AN23" s="90" t="n">
        <v>35</v>
      </c>
      <c r="AO23" s="90" t="inlineStr">
        <is>
          <t>Ing. Agronomo</t>
        </is>
      </c>
      <c r="AP23" s="90" t="n">
        <v>1800</v>
      </c>
      <c r="AQ23" s="90" t="n">
        <v>32</v>
      </c>
      <c r="AR23" s="90" t="inlineStr">
        <is>
          <t>Medico</t>
        </is>
      </c>
      <c r="AS23" s="90" t="n">
        <v>2200</v>
      </c>
      <c r="AT23" s="91" t="n">
        <v>0.8</v>
      </c>
      <c r="AU23" s="90" t="inlineStr">
        <is>
          <t>no</t>
        </is>
      </c>
      <c r="AV23" s="90" t="n"/>
      <c r="AW23" s="90" t="n"/>
      <c r="AX23" s="90" t="n"/>
      <c r="BB23">
        <f>IF(A23="RESERVADO",S23,"LIBRE")</f>
        <v/>
      </c>
      <c r="BC23" s="218" t="inlineStr">
        <is>
          <t xml:space="preserve">ES55 0049 5525 5620 1103 8674 </t>
        </is>
      </c>
    </row>
    <row r="24" ht="14.25" customHeight="1">
      <c r="A24" s="31" t="inlineStr">
        <is>
          <t>RESERVADO</t>
        </is>
      </c>
      <c r="B24" s="417" t="n">
        <v>44669</v>
      </c>
      <c r="C24" s="417" t="n">
        <v>45383</v>
      </c>
      <c r="E24" s="239" t="n">
        <v>13</v>
      </c>
      <c r="F24" s="35" t="n">
        <v>1</v>
      </c>
      <c r="G24" s="36" t="n">
        <v>2</v>
      </c>
      <c r="H24" s="36" t="inlineStr">
        <is>
          <t>B</t>
        </is>
      </c>
      <c r="I24" s="36" t="n">
        <v>3</v>
      </c>
      <c r="J24" s="36" t="n">
        <v>13</v>
      </c>
      <c r="K24" s="36" t="n">
        <v>20</v>
      </c>
      <c r="L24" s="36" t="inlineStr">
        <is>
          <t>.</t>
        </is>
      </c>
      <c r="M24" s="36" t="inlineStr">
        <is>
          <t>.</t>
        </is>
      </c>
      <c r="N24" s="37" t="n">
        <v>93.39</v>
      </c>
      <c r="O24" s="37" t="n">
        <v>5.77</v>
      </c>
      <c r="P24" s="37" t="n">
        <v>99.16</v>
      </c>
      <c r="Q24" s="51" t="n">
        <v>115.43</v>
      </c>
      <c r="R24" s="69" t="n"/>
      <c r="S24" s="39" t="n">
        <v>238600</v>
      </c>
      <c r="T24" s="41" t="n">
        <v>23860</v>
      </c>
      <c r="U24" s="365" t="n">
        <v>262460</v>
      </c>
      <c r="V24" s="70" t="n">
        <v>7873.8</v>
      </c>
      <c r="W24" s="70" t="n">
        <v>26246</v>
      </c>
      <c r="X24" s="42" t="n">
        <v>13123</v>
      </c>
      <c r="Y24" s="42" t="n">
        <v>24337.2</v>
      </c>
      <c r="Z24" s="334" t="n">
        <v>190880</v>
      </c>
      <c r="AA24" s="495">
        <f>AA23+2</f>
        <v/>
      </c>
      <c r="AB24" s="92" t="inlineStr">
        <is>
          <t>SATURNINO GONZALEZ -HABA GIL</t>
        </is>
      </c>
      <c r="AC24" s="93" t="n"/>
      <c r="AD24" s="45" t="n"/>
      <c r="AE24" s="48" t="inlineStr">
        <is>
          <t>ninoghg@gmail.com</t>
        </is>
      </c>
      <c r="AF24" s="46" t="inlineStr">
        <is>
          <t>MARIA ISABEL MARTINEZ FERNANDEZ</t>
        </is>
      </c>
      <c r="AG24" s="94" t="n"/>
      <c r="AH24" s="47" t="n"/>
      <c r="AI24" s="257" t="inlineStr">
        <is>
          <t>marisa63@educarex.es</t>
        </is>
      </c>
      <c r="AJ24" s="48" t="inlineStr">
        <is>
          <t>casados</t>
        </is>
      </c>
      <c r="AK24" s="88" t="inlineStr">
        <is>
          <t>C/. Condes de Cartagena 25, Villanueva de la Serena (Badajoz)</t>
        </is>
      </c>
      <c r="AL24" s="32" t="n"/>
      <c r="AM24" s="33" t="inlineStr">
        <is>
          <t>no</t>
        </is>
      </c>
      <c r="AN24" s="33" t="n">
        <v>56</v>
      </c>
      <c r="AO24" s="33" t="inlineStr">
        <is>
          <t>Profesor</t>
        </is>
      </c>
      <c r="AP24" s="33" t="n">
        <v>2400</v>
      </c>
      <c r="AQ24" s="33" t="n">
        <v>59</v>
      </c>
      <c r="AR24" s="33" t="inlineStr">
        <is>
          <t>Profesora</t>
        </is>
      </c>
      <c r="AS24" s="33" t="n">
        <v>2500</v>
      </c>
      <c r="AT24" s="49" t="n">
        <v>0.3</v>
      </c>
      <c r="AU24" s="33" t="n"/>
      <c r="AV24" s="33" t="inlineStr">
        <is>
          <t xml:space="preserve">reposición </t>
        </is>
      </c>
      <c r="AW24" s="33" t="inlineStr">
        <is>
          <t>para jubilacion</t>
        </is>
      </c>
      <c r="AX24" s="33" t="inlineStr">
        <is>
          <t>Otra localidad (hijos compran tambien)</t>
        </is>
      </c>
      <c r="BB24">
        <f>IF(A24="RESERVADO",S24,"LIBRE")</f>
        <v/>
      </c>
      <c r="BC24" s="218" t="inlineStr">
        <is>
          <t>ES13 0049 5346 7123 1695 1598</t>
        </is>
      </c>
    </row>
    <row r="25" ht="14.25" customHeight="1">
      <c r="A25" s="31" t="inlineStr">
        <is>
          <t>RESERVADO</t>
        </is>
      </c>
      <c r="B25" s="417" t="n">
        <v>44658</v>
      </c>
      <c r="C25" s="417" t="n">
        <v>45371</v>
      </c>
      <c r="E25" s="239" t="n">
        <v>14</v>
      </c>
      <c r="F25" s="35" t="n">
        <v>1</v>
      </c>
      <c r="G25" s="36" t="n">
        <v>2</v>
      </c>
      <c r="H25" s="36" t="inlineStr">
        <is>
          <t>C</t>
        </is>
      </c>
      <c r="I25" s="36" t="n">
        <v>2</v>
      </c>
      <c r="J25" s="36" t="n">
        <v>44</v>
      </c>
      <c r="K25" s="36" t="n">
        <v>43</v>
      </c>
      <c r="L25" s="36" t="inlineStr">
        <is>
          <t>.</t>
        </is>
      </c>
      <c r="M25" s="36" t="inlineStr">
        <is>
          <t>.</t>
        </is>
      </c>
      <c r="N25" s="37" t="n">
        <v>71.37</v>
      </c>
      <c r="O25" s="37" t="n">
        <v>4.35</v>
      </c>
      <c r="P25" s="37" t="n">
        <v>75.72</v>
      </c>
      <c r="Q25" s="37" t="n">
        <v>89.06999999999999</v>
      </c>
      <c r="R25" s="69" t="n"/>
      <c r="S25" s="39" t="n">
        <v>178900</v>
      </c>
      <c r="T25" s="41" t="n">
        <v>17890</v>
      </c>
      <c r="U25" s="365" t="n">
        <v>196790</v>
      </c>
      <c r="V25" s="70" t="n">
        <v>9839.5</v>
      </c>
      <c r="W25" s="70" t="n">
        <v>19679</v>
      </c>
      <c r="X25" s="42" t="n">
        <v>9839.5</v>
      </c>
      <c r="Y25" s="42" t="n">
        <v>14312</v>
      </c>
      <c r="Z25" s="334" t="n">
        <v>143120</v>
      </c>
      <c r="AA25" s="495">
        <f>AA24+2</f>
        <v/>
      </c>
      <c r="AB25" s="43" t="inlineStr">
        <is>
          <t>JUAN FRANCISCO OTERO MARTIN</t>
        </is>
      </c>
      <c r="AC25" s="44" t="n"/>
      <c r="AD25" s="45" t="n"/>
      <c r="AE25" s="30" t="inlineStr">
        <is>
          <t>jfoteromartin@gmail.com</t>
        </is>
      </c>
      <c r="AF25" s="30" t="inlineStr">
        <is>
          <t>----------------</t>
        </is>
      </c>
      <c r="AG25" s="30" t="n"/>
      <c r="AH25" s="47" t="n"/>
      <c r="AI25" s="87" t="n"/>
      <c r="AJ25" s="30" t="inlineStr">
        <is>
          <t>divorciado</t>
        </is>
      </c>
      <c r="AK25" s="88" t="inlineStr">
        <is>
          <t>C/. Damian Tellez la Fuente 18, 4º D de Badajoz</t>
        </is>
      </c>
      <c r="AL25" s="32" t="n"/>
      <c r="AM25" s="33" t="inlineStr">
        <is>
          <t>no</t>
        </is>
      </c>
      <c r="AN25" s="33" t="n">
        <v>69</v>
      </c>
      <c r="AO25" s="33" t="inlineStr">
        <is>
          <t>Jubilado</t>
        </is>
      </c>
      <c r="AP25" s="33" t="n">
        <v>2100</v>
      </c>
      <c r="AQ25" s="33" t="n"/>
      <c r="AR25" s="33" t="n"/>
      <c r="AS25" s="33" t="n"/>
      <c r="AT25" s="73" t="n">
        <v>0</v>
      </c>
      <c r="AU25" s="33" t="inlineStr">
        <is>
          <t>no</t>
        </is>
      </c>
      <c r="AV25" s="33" t="inlineStr">
        <is>
          <t xml:space="preserve">reposición </t>
        </is>
      </c>
      <c r="AW25" s="33" t="inlineStr">
        <is>
          <t>menor tamaño</t>
        </is>
      </c>
      <c r="AX25" s="33" t="inlineStr">
        <is>
          <t>Valdepasillas</t>
        </is>
      </c>
      <c r="BB25">
        <f>IF(A25="RESERVADO",S25,"LIBRE")</f>
        <v/>
      </c>
      <c r="BC25" s="218" t="inlineStr">
        <is>
          <t>ES62 0049 4640 9022 9507 3949</t>
        </is>
      </c>
    </row>
    <row r="26" ht="14.25" customHeight="1">
      <c r="A26" s="31" t="inlineStr">
        <is>
          <t>RESERVADO</t>
        </is>
      </c>
      <c r="B26" s="417" t="n"/>
      <c r="C26" s="417" t="n">
        <v>45442</v>
      </c>
      <c r="E26" s="239" t="n">
        <v>15</v>
      </c>
      <c r="F26" s="35" t="n">
        <v>1</v>
      </c>
      <c r="G26" s="36" t="n">
        <v>2</v>
      </c>
      <c r="H26" s="36" t="inlineStr">
        <is>
          <t>D</t>
        </is>
      </c>
      <c r="I26" s="36" t="n">
        <v>2</v>
      </c>
      <c r="J26" s="36" t="n">
        <v>15</v>
      </c>
      <c r="K26" s="36" t="n">
        <v>22</v>
      </c>
      <c r="L26" s="36" t="inlineStr">
        <is>
          <t>.</t>
        </is>
      </c>
      <c r="M26" s="36" t="inlineStr">
        <is>
          <t>.</t>
        </is>
      </c>
      <c r="N26" s="71" t="n">
        <v>67.94</v>
      </c>
      <c r="O26" s="71" t="n">
        <v>3.1</v>
      </c>
      <c r="P26" s="71" t="n">
        <v>71.03999999999999</v>
      </c>
      <c r="Q26" s="71" t="n">
        <v>82.42</v>
      </c>
      <c r="R26" s="69" t="n"/>
      <c r="S26" s="39" t="n">
        <v>185000</v>
      </c>
      <c r="T26" s="41" t="n">
        <v>18500</v>
      </c>
      <c r="U26" s="365" t="n">
        <v>203500</v>
      </c>
      <c r="V26" s="41" t="n">
        <v>0</v>
      </c>
      <c r="W26" s="70" t="n">
        <v>22385</v>
      </c>
      <c r="X26" s="42" t="n">
        <v>10175</v>
      </c>
      <c r="Y26" s="42" t="n">
        <v>22940</v>
      </c>
      <c r="Z26" s="334" t="n">
        <v>148000</v>
      </c>
      <c r="AA26" s="495">
        <f>AA25+2</f>
        <v/>
      </c>
      <c r="AB26" s="43" t="inlineStr">
        <is>
          <t>MARIA JESUS FERNANDEZ SANCHEZ</t>
        </is>
      </c>
      <c r="AC26" s="44" t="n"/>
      <c r="AD26" s="45" t="n"/>
      <c r="AE26" s="30" t="inlineStr">
        <is>
          <t>mariaj.fs.88@gmail.com</t>
        </is>
      </c>
      <c r="AF26" s="30" t="n"/>
      <c r="AG26" s="30" t="n"/>
      <c r="AH26" s="47" t="n"/>
      <c r="AI26" s="87" t="n"/>
      <c r="AJ26" s="30" t="inlineStr">
        <is>
          <t>soltera</t>
        </is>
      </c>
      <c r="AK26" s="88" t="inlineStr">
        <is>
          <t>C/. Camelia 15, 2ºC - Navalmoral de la Mata (Cáceres)</t>
        </is>
      </c>
      <c r="AL26" s="32" t="n"/>
      <c r="AM26" s="33" t="n"/>
      <c r="AN26" s="33" t="n"/>
      <c r="AO26" s="33" t="n"/>
      <c r="AP26" s="33" t="n"/>
      <c r="AQ26" s="33" t="n"/>
      <c r="AR26" s="33" t="n"/>
      <c r="AS26" s="33" t="n"/>
      <c r="AT26" s="73" t="n"/>
      <c r="AU26" s="33" t="n"/>
      <c r="AV26" s="33" t="n"/>
      <c r="AW26" s="33" t="n"/>
      <c r="AX26" s="33" t="n"/>
      <c r="BB26">
        <f>IF(A26="RESERVADO",S26,"LIBRE")</f>
        <v/>
      </c>
      <c r="BC26" s="381" t="inlineStr">
        <is>
          <t>ES58 0049 2522 6729 9586 4137</t>
        </is>
      </c>
    </row>
    <row r="27" ht="15.75" customHeight="1">
      <c r="A27" s="88" t="inlineStr">
        <is>
          <t>RESERVADO</t>
        </is>
      </c>
      <c r="B27" s="417" t="n">
        <v>45336</v>
      </c>
      <c r="C27" s="417" t="n">
        <v>45392</v>
      </c>
      <c r="D27" s="353" t="n"/>
      <c r="E27" s="239" t="n">
        <v>16</v>
      </c>
      <c r="F27" s="74" t="n">
        <v>1</v>
      </c>
      <c r="G27" s="75" t="n">
        <v>2</v>
      </c>
      <c r="H27" s="75" t="inlineStr">
        <is>
          <t>E</t>
        </is>
      </c>
      <c r="I27" s="75" t="n">
        <v>2</v>
      </c>
      <c r="J27" s="75" t="n">
        <v>58</v>
      </c>
      <c r="K27" s="75" t="n">
        <v>51</v>
      </c>
      <c r="L27" s="75" t="n"/>
      <c r="M27" s="75" t="n"/>
      <c r="N27" s="76" t="n">
        <v>64.06999999999999</v>
      </c>
      <c r="O27" s="76" t="n">
        <v>2.68</v>
      </c>
      <c r="P27" s="76" t="n">
        <v>66.75</v>
      </c>
      <c r="Q27" s="77" t="n">
        <v>85.31999999999999</v>
      </c>
      <c r="R27" s="78" t="n"/>
      <c r="S27" s="79" t="n">
        <v>181000</v>
      </c>
      <c r="T27" s="41" t="n">
        <v>18100</v>
      </c>
      <c r="U27" s="365" t="n">
        <v>199100</v>
      </c>
      <c r="V27" s="236" t="n">
        <v>5973</v>
      </c>
      <c r="W27" s="70" t="n">
        <v>19910</v>
      </c>
      <c r="X27" s="42" t="n">
        <v>9955</v>
      </c>
      <c r="Y27" s="42" t="n">
        <v>18462</v>
      </c>
      <c r="Z27" s="334" t="n">
        <v>144800</v>
      </c>
      <c r="AA27" s="495">
        <f>AA26+2</f>
        <v/>
      </c>
      <c r="AB27" s="43" t="inlineStr">
        <is>
          <t>MANUEL JOSE SUAREZ MARTIN</t>
        </is>
      </c>
      <c r="AC27" s="44" t="n"/>
      <c r="AD27" s="45" t="n"/>
      <c r="AE27" s="48" t="inlineStr">
        <is>
          <t>pepe.jerepe83@gmail.com</t>
        </is>
      </c>
      <c r="AF27" s="30" t="n"/>
      <c r="AG27" s="30" t="n"/>
      <c r="AH27" s="47" t="n"/>
      <c r="AI27" s="87" t="n"/>
      <c r="AJ27" s="30" t="n"/>
      <c r="AK27" s="88" t="inlineStr">
        <is>
          <t>C/. Diputación 25, Monterrubio de la Serena (Badajoz)</t>
        </is>
      </c>
      <c r="AL27" s="95" t="n"/>
      <c r="AM27" s="33" t="n"/>
      <c r="AN27" s="33" t="n">
        <v>40</v>
      </c>
      <c r="AO27" s="33" t="n"/>
      <c r="AP27" s="33" t="n"/>
      <c r="AQ27" s="33" t="n"/>
      <c r="AR27" s="33" t="n"/>
      <c r="AS27" s="33" t="n"/>
      <c r="AT27" s="49" t="n"/>
      <c r="AU27" s="33" t="n"/>
      <c r="AV27" s="33" t="n"/>
      <c r="AW27" s="33" t="n"/>
      <c r="AX27" s="33" t="n"/>
      <c r="BB27">
        <f>IF(A27="RESERVADO",S27,"LIBRE")</f>
        <v/>
      </c>
      <c r="BC27" s="218" t="inlineStr">
        <is>
          <t>ES65 0078 0059 3240 1000 2962</t>
        </is>
      </c>
    </row>
    <row r="28" ht="14.25" customHeight="1" thickBot="1">
      <c r="A28" s="88" t="inlineStr">
        <is>
          <t>RESERVADO</t>
        </is>
      </c>
      <c r="B28" s="90" t="n"/>
      <c r="C28" s="416" t="n">
        <v>45504</v>
      </c>
      <c r="E28" s="241" t="n">
        <v>17</v>
      </c>
      <c r="F28" s="81" t="n">
        <v>1</v>
      </c>
      <c r="G28" s="82" t="n">
        <v>2</v>
      </c>
      <c r="H28" s="53" t="inlineStr">
        <is>
          <t>F</t>
        </is>
      </c>
      <c r="I28" s="53" t="n">
        <v>2</v>
      </c>
      <c r="J28" s="53" t="n">
        <v>43</v>
      </c>
      <c r="K28" s="53" t="n">
        <v>42</v>
      </c>
      <c r="L28" s="53" t="inlineStr">
        <is>
          <t>.</t>
        </is>
      </c>
      <c r="M28" s="53" t="inlineStr">
        <is>
          <t>.</t>
        </is>
      </c>
      <c r="N28" s="71" t="n">
        <v>67.94</v>
      </c>
      <c r="O28" s="71" t="n">
        <v>3.1</v>
      </c>
      <c r="P28" s="71" t="n">
        <v>71.03999999999999</v>
      </c>
      <c r="Q28" s="83" t="n">
        <v>82.42</v>
      </c>
      <c r="R28" s="84" t="n"/>
      <c r="S28" s="85" t="n">
        <v>187000</v>
      </c>
      <c r="T28" s="104" t="n">
        <v>18700</v>
      </c>
      <c r="U28" s="366" t="n">
        <v>205700</v>
      </c>
      <c r="V28" s="96" t="n">
        <v>0</v>
      </c>
      <c r="W28" s="96" t="n">
        <v>22627</v>
      </c>
      <c r="X28" s="96" t="n">
        <v>8228</v>
      </c>
      <c r="Y28" s="58" t="n">
        <v>25245</v>
      </c>
      <c r="Z28" s="335" t="n">
        <v>149600</v>
      </c>
      <c r="AA28" s="495">
        <f>AA27+2</f>
        <v/>
      </c>
      <c r="AB28" s="43" t="inlineStr">
        <is>
          <t>MARIA DURAN ENTISNE</t>
        </is>
      </c>
      <c r="AC28" s="44" t="n"/>
      <c r="AD28" s="45" t="n"/>
      <c r="AE28" s="48" t="inlineStr">
        <is>
          <t>maria.despachoduran@gmail.com</t>
        </is>
      </c>
      <c r="AF28" s="30" t="n"/>
      <c r="AG28" s="30" t="n"/>
      <c r="AH28" s="47" t="n"/>
      <c r="AI28" s="87" t="n"/>
      <c r="AJ28" s="30" t="inlineStr">
        <is>
          <t>soltera</t>
        </is>
      </c>
      <c r="AK28" s="88" t="inlineStr">
        <is>
          <t>C/. Conde Barcelona 9, 5º A - Badajoz</t>
        </is>
      </c>
      <c r="AL28" s="95" t="n"/>
      <c r="AM28" s="33" t="n"/>
      <c r="AN28" s="33" t="n"/>
      <c r="AO28" s="33" t="n"/>
      <c r="AP28" s="33" t="n"/>
      <c r="AQ28" s="33" t="n"/>
      <c r="AR28" s="33" t="n"/>
      <c r="AS28" s="33" t="n"/>
      <c r="AT28" s="49" t="n"/>
      <c r="AU28" s="33" t="n"/>
      <c r="AV28" s="33" t="n"/>
      <c r="AW28" s="33" t="n"/>
      <c r="AX28" s="33" t="n"/>
      <c r="BB28">
        <f>IF(A28="RESERVADO",S28,"LIBRE")</f>
        <v/>
      </c>
      <c r="BC28" s="218" t="inlineStr">
        <is>
          <t xml:space="preserve">ES97 3009 0091 8021 1575 2517 </t>
        </is>
      </c>
    </row>
    <row r="29" ht="14.25" customHeight="1" thickBot="1">
      <c r="A29" s="31" t="inlineStr">
        <is>
          <t>RESERVADO</t>
        </is>
      </c>
      <c r="B29" s="417" t="n">
        <v>44642</v>
      </c>
      <c r="C29" s="417" t="n">
        <v>45383</v>
      </c>
      <c r="E29" s="240" t="n">
        <v>18</v>
      </c>
      <c r="F29" s="59" t="n">
        <v>1</v>
      </c>
      <c r="G29" s="60" t="n">
        <v>3</v>
      </c>
      <c r="H29" s="60" t="inlineStr">
        <is>
          <t>A</t>
        </is>
      </c>
      <c r="I29" s="60" t="n">
        <v>4</v>
      </c>
      <c r="J29" s="60" t="n">
        <v>59</v>
      </c>
      <c r="K29" s="60" t="n">
        <v>53</v>
      </c>
      <c r="L29" s="60" t="n">
        <v>50</v>
      </c>
      <c r="M29" s="60" t="inlineStr">
        <is>
          <t>.</t>
        </is>
      </c>
      <c r="N29" s="61" t="n">
        <v>110.85</v>
      </c>
      <c r="O29" s="61" t="n">
        <v>11.4</v>
      </c>
      <c r="P29" s="61" t="n">
        <v>122.25</v>
      </c>
      <c r="Q29" s="61" t="n">
        <v>140.49</v>
      </c>
      <c r="R29" s="64" t="n"/>
      <c r="S29" s="65" t="n">
        <v>300100</v>
      </c>
      <c r="T29" s="86" t="n">
        <v>30010</v>
      </c>
      <c r="U29" s="367" t="n">
        <v>330110</v>
      </c>
      <c r="V29" s="97" t="n">
        <v>16605.5</v>
      </c>
      <c r="W29" s="331" t="n">
        <v>33011</v>
      </c>
      <c r="X29" s="67" t="n">
        <v>14000</v>
      </c>
      <c r="Y29" s="58" t="n">
        <v>26413.5</v>
      </c>
      <c r="Z29" s="336" t="n">
        <v>240080</v>
      </c>
      <c r="AA29" s="495">
        <f>AA28+2</f>
        <v/>
      </c>
      <c r="AB29" s="43" t="inlineStr">
        <is>
          <t>DIEGO GARCIA RUBIO</t>
        </is>
      </c>
      <c r="AC29" s="44" t="n"/>
      <c r="AD29" s="45" t="n"/>
      <c r="AE29" s="48" t="inlineStr">
        <is>
          <t>miotracuenta2@gmail.com</t>
        </is>
      </c>
      <c r="AF29" s="46" t="inlineStr">
        <is>
          <t>SARA ESPINA HIDALGO</t>
        </is>
      </c>
      <c r="AG29" s="46" t="n"/>
      <c r="AH29" s="47" t="n"/>
      <c r="AI29" s="87" t="inlineStr">
        <is>
          <t>sespinah@gmai.com</t>
        </is>
      </c>
      <c r="AJ29" s="30" t="inlineStr">
        <is>
          <t>casados</t>
        </is>
      </c>
      <c r="AK29" s="88" t="inlineStr">
        <is>
          <t>C/. Castillo Puebla de Alcocer, 32, 2ºA de Badajoz</t>
        </is>
      </c>
      <c r="AL29" s="32" t="n"/>
      <c r="AM29" s="33" t="inlineStr">
        <is>
          <t>hijos</t>
        </is>
      </c>
      <c r="AN29" s="33" t="n">
        <v>58</v>
      </c>
      <c r="AO29" s="33" t="inlineStr">
        <is>
          <t>Veterinario</t>
        </is>
      </c>
      <c r="AP29" s="33" t="n">
        <v>2300</v>
      </c>
      <c r="AQ29" s="33" t="n">
        <v>56</v>
      </c>
      <c r="AR29" s="33" t="inlineStr">
        <is>
          <t>Bibliotecaria</t>
        </is>
      </c>
      <c r="AS29" s="33" t="n">
        <v>2500</v>
      </c>
      <c r="AT29" s="98" t="n">
        <v>0.8</v>
      </c>
      <c r="AU29" s="99" t="inlineStr">
        <is>
          <t>consideraran</t>
        </is>
      </c>
      <c r="AV29" s="33" t="inlineStr">
        <is>
          <t>Reposición</t>
        </is>
      </c>
      <c r="AW29" s="33" t="n"/>
      <c r="AX29" s="33" t="inlineStr">
        <is>
          <t>U. Guadiana</t>
        </is>
      </c>
      <c r="BB29">
        <f>IF(A29="RESERVADO",S29,"LIBRE")</f>
        <v/>
      </c>
      <c r="BC29" s="9" t="inlineStr">
        <is>
          <t>ES33 0049 0373 6025 9167 2500</t>
        </is>
      </c>
    </row>
    <row r="30" ht="14.25" customHeight="1">
      <c r="A30" s="31" t="inlineStr">
        <is>
          <t>RESERVADO</t>
        </is>
      </c>
      <c r="B30" s="417" t="n">
        <v>44650</v>
      </c>
      <c r="C30" s="417" t="n">
        <v>45386</v>
      </c>
      <c r="E30" s="239" t="n">
        <v>19</v>
      </c>
      <c r="F30" s="35" t="n">
        <v>1</v>
      </c>
      <c r="G30" s="100" t="n">
        <v>3</v>
      </c>
      <c r="H30" s="36" t="inlineStr">
        <is>
          <t>B</t>
        </is>
      </c>
      <c r="I30" s="36" t="n">
        <v>3</v>
      </c>
      <c r="J30" s="36" t="n">
        <v>16</v>
      </c>
      <c r="K30" s="36" t="n">
        <v>23</v>
      </c>
      <c r="L30" s="36" t="inlineStr">
        <is>
          <t>.</t>
        </is>
      </c>
      <c r="M30" s="36" t="inlineStr">
        <is>
          <t>.</t>
        </is>
      </c>
      <c r="N30" s="37" t="n">
        <v>93.39</v>
      </c>
      <c r="O30" s="37" t="n">
        <v>5.77</v>
      </c>
      <c r="P30" s="37" t="n">
        <v>99.16</v>
      </c>
      <c r="Q30" s="101" t="n">
        <v>115.43</v>
      </c>
      <c r="R30" s="69" t="n"/>
      <c r="S30" s="39" t="n">
        <v>239700</v>
      </c>
      <c r="T30" s="41" t="n">
        <v>23970</v>
      </c>
      <c r="U30" s="365" t="n">
        <v>263670</v>
      </c>
      <c r="V30" s="70" t="n">
        <v>14184</v>
      </c>
      <c r="W30" s="70" t="n">
        <v>25367</v>
      </c>
      <c r="X30" s="70" t="n">
        <v>13183</v>
      </c>
      <c r="Y30" s="42" t="n">
        <v>19176</v>
      </c>
      <c r="Z30" s="334" t="n">
        <v>191760</v>
      </c>
      <c r="AA30" s="495">
        <f>AA29+2</f>
        <v/>
      </c>
      <c r="AB30" s="43" t="inlineStr">
        <is>
          <t>FELIPA PEREZ CORRALES</t>
        </is>
      </c>
      <c r="AC30" s="44" t="n"/>
      <c r="AD30" s="45" t="n"/>
      <c r="AE30" s="408" t="inlineStr">
        <is>
          <t>felipaperezcorrales@gmail.com</t>
        </is>
      </c>
      <c r="AF30" s="30" t="n"/>
      <c r="AG30" s="30" t="n"/>
      <c r="AH30" s="47" t="n"/>
      <c r="AI30" s="87" t="n"/>
      <c r="AJ30" s="30" t="n"/>
      <c r="AK30" s="88" t="inlineStr">
        <is>
          <t>C/. Madame Curie 209, 1ºB de Cáceres</t>
        </is>
      </c>
      <c r="AL30" s="32" t="n"/>
      <c r="AM30" s="33" t="inlineStr">
        <is>
          <t>no</t>
        </is>
      </c>
      <c r="AN30" s="33" t="n">
        <v>63</v>
      </c>
      <c r="AO30" s="33" t="inlineStr">
        <is>
          <t>Funcionario</t>
        </is>
      </c>
      <c r="AP30" s="33" t="n">
        <v>1500</v>
      </c>
      <c r="AQ30" s="33" t="n"/>
      <c r="AR30" s="33" t="n"/>
      <c r="AS30" s="33" t="n"/>
      <c r="AT30" s="73" t="n">
        <v>0</v>
      </c>
      <c r="AU30" s="33" t="inlineStr">
        <is>
          <t>no</t>
        </is>
      </c>
      <c r="AV30" s="33" t="inlineStr">
        <is>
          <t>Reposicion</t>
        </is>
      </c>
      <c r="AW30" s="33" t="n"/>
      <c r="AX30" s="33" t="inlineStr">
        <is>
          <t>Otra localidad (Cáceres)</t>
        </is>
      </c>
      <c r="BB30">
        <f>IF(A30="RESERVADO",S30,"LIBRE")</f>
        <v/>
      </c>
      <c r="BC30" s="218" t="inlineStr">
        <is>
          <t>ES60 3009 0110 9628 2475 4325</t>
        </is>
      </c>
      <c r="BD30" s="330" t="n"/>
    </row>
    <row r="31" ht="14.25" customHeight="1">
      <c r="A31" s="31" t="inlineStr">
        <is>
          <t>RESERVADO</t>
        </is>
      </c>
      <c r="B31" s="417" t="n">
        <v>44648</v>
      </c>
      <c r="C31" s="417" t="n">
        <v>45383</v>
      </c>
      <c r="E31" s="239" t="n">
        <v>20</v>
      </c>
      <c r="F31" s="35" t="n">
        <v>1</v>
      </c>
      <c r="G31" s="100" t="n">
        <v>3</v>
      </c>
      <c r="H31" s="36" t="inlineStr">
        <is>
          <t>C</t>
        </is>
      </c>
      <c r="I31" s="36" t="n">
        <v>2</v>
      </c>
      <c r="J31" s="36" t="n">
        <v>38</v>
      </c>
      <c r="K31" s="36" t="n">
        <v>25</v>
      </c>
      <c r="L31" s="36" t="inlineStr">
        <is>
          <t>.</t>
        </is>
      </c>
      <c r="M31" s="36" t="inlineStr">
        <is>
          <t>.</t>
        </is>
      </c>
      <c r="N31" s="37" t="n">
        <v>71.37</v>
      </c>
      <c r="O31" s="37" t="n">
        <v>2.54</v>
      </c>
      <c r="P31" s="37" t="n">
        <v>73.91000000000001</v>
      </c>
      <c r="Q31" s="37" t="n">
        <v>87.14</v>
      </c>
      <c r="R31" s="37" t="n">
        <v>3.62</v>
      </c>
      <c r="S31" s="39" t="n">
        <v>181600</v>
      </c>
      <c r="T31" s="41" t="n">
        <v>18160</v>
      </c>
      <c r="U31" s="365" t="n">
        <v>199760</v>
      </c>
      <c r="V31" s="41" t="n">
        <v>9988</v>
      </c>
      <c r="W31" s="70" t="n">
        <v>19976</v>
      </c>
      <c r="X31" s="42" t="n">
        <v>9988</v>
      </c>
      <c r="Y31" s="42" t="n">
        <v>14528</v>
      </c>
      <c r="Z31" s="334" t="n">
        <v>145280</v>
      </c>
      <c r="AA31" s="495">
        <f>AA30+2</f>
        <v/>
      </c>
      <c r="AB31" s="43" t="inlineStr">
        <is>
          <t>PAULINO CONEJO NAVARRETE</t>
        </is>
      </c>
      <c r="AC31" s="44" t="n"/>
      <c r="AD31" s="45" t="n"/>
      <c r="AE31" s="48" t="inlineStr">
        <is>
          <t>paulino.conejo@hotmail.com</t>
        </is>
      </c>
      <c r="AF31" s="30" t="inlineStr">
        <is>
          <t>----------------</t>
        </is>
      </c>
      <c r="AG31" s="30" t="n"/>
      <c r="AH31" s="47" t="n"/>
      <c r="AI31" s="87" t="n"/>
      <c r="AJ31" s="30" t="inlineStr">
        <is>
          <t>casado</t>
        </is>
      </c>
      <c r="AK31" s="88" t="inlineStr">
        <is>
          <t>Plaza de la Constitución 2, 1ºAB de Badajoz</t>
        </is>
      </c>
      <c r="AL31" s="32" t="n"/>
      <c r="AM31" s="33" t="n"/>
      <c r="AN31" s="33" t="n">
        <v>72</v>
      </c>
      <c r="AO31" s="33" t="inlineStr">
        <is>
          <t>jubilado</t>
        </is>
      </c>
      <c r="AP31" s="33" t="n"/>
      <c r="AQ31" s="33" t="n"/>
      <c r="AR31" s="33" t="n"/>
      <c r="AS31" s="33" t="n"/>
      <c r="AT31" s="73" t="n">
        <v>0</v>
      </c>
      <c r="AU31" s="33" t="inlineStr">
        <is>
          <t>no</t>
        </is>
      </c>
      <c r="AV31" s="33" t="inlineStr">
        <is>
          <t>Inversión</t>
        </is>
      </c>
      <c r="AW31" s="33" t="n"/>
      <c r="AX31" s="33" t="inlineStr">
        <is>
          <t>Pardaleras</t>
        </is>
      </c>
      <c r="BB31">
        <f>IF(A31="RESERVADO",S31,"LIBRE")</f>
        <v/>
      </c>
      <c r="BC31" s="218" t="inlineStr">
        <is>
          <t>ES30 2080 3578 80030 4008 5577</t>
        </is>
      </c>
    </row>
    <row r="32" ht="14.25" customHeight="1">
      <c r="A32" s="31" t="inlineStr">
        <is>
          <t>RESERVADO</t>
        </is>
      </c>
      <c r="B32" s="417" t="n">
        <v>44874</v>
      </c>
      <c r="C32" s="417" t="n">
        <v>45383</v>
      </c>
      <c r="E32" s="239" t="n">
        <v>21</v>
      </c>
      <c r="F32" s="35" t="n">
        <v>1</v>
      </c>
      <c r="G32" s="100" t="n">
        <v>3</v>
      </c>
      <c r="H32" s="36" t="inlineStr">
        <is>
          <t>D</t>
        </is>
      </c>
      <c r="I32" s="36" t="n">
        <v>2</v>
      </c>
      <c r="J32" s="36" t="n">
        <v>45</v>
      </c>
      <c r="K32" s="36" t="n">
        <v>44</v>
      </c>
      <c r="L32" s="36" t="inlineStr">
        <is>
          <t>.</t>
        </is>
      </c>
      <c r="M32" s="36" t="inlineStr">
        <is>
          <t>.</t>
        </is>
      </c>
      <c r="N32" s="71" t="n">
        <v>67.94</v>
      </c>
      <c r="O32" s="71" t="n">
        <v>3.1</v>
      </c>
      <c r="P32" s="71" t="n">
        <v>71.03999999999999</v>
      </c>
      <c r="Q32" s="71" t="n">
        <v>82.42</v>
      </c>
      <c r="R32" s="69" t="n"/>
      <c r="S32" s="39" t="n">
        <v>184000</v>
      </c>
      <c r="T32" s="41" t="n">
        <v>18400</v>
      </c>
      <c r="U32" s="365" t="n">
        <v>202400</v>
      </c>
      <c r="V32" s="41" t="n">
        <v>10120</v>
      </c>
      <c r="W32" s="70" t="n">
        <v>20240</v>
      </c>
      <c r="X32" s="42" t="n">
        <v>10120</v>
      </c>
      <c r="Y32" s="42" t="n">
        <v>14720</v>
      </c>
      <c r="Z32" s="334" t="n">
        <v>147200</v>
      </c>
      <c r="AA32" s="495">
        <f>AA31+2</f>
        <v/>
      </c>
      <c r="AB32" s="43" t="inlineStr">
        <is>
          <t>PAULINO CONEJO NAVARRETE</t>
        </is>
      </c>
      <c r="AC32" s="44" t="n"/>
      <c r="AD32" s="45" t="n"/>
      <c r="AE32" s="48" t="inlineStr">
        <is>
          <t>paulino.conejo@hotmail.com</t>
        </is>
      </c>
      <c r="AF32" s="30" t="inlineStr">
        <is>
          <t>----------------</t>
        </is>
      </c>
      <c r="AG32" s="30" t="n"/>
      <c r="AH32" s="47" t="n"/>
      <c r="AI32" s="87" t="n"/>
      <c r="AJ32" s="30" t="inlineStr">
        <is>
          <t>casado</t>
        </is>
      </c>
      <c r="AK32" s="88" t="inlineStr">
        <is>
          <t>Plaza de la Constitución 2, 1ºAB de Badajoz</t>
        </is>
      </c>
      <c r="AL32" s="32" t="n"/>
      <c r="AM32" s="33" t="n"/>
      <c r="AN32" s="33" t="n">
        <v>72</v>
      </c>
      <c r="AO32" s="33" t="inlineStr">
        <is>
          <t>jubilado</t>
        </is>
      </c>
      <c r="AP32" s="33" t="n"/>
      <c r="AQ32" s="33" t="n"/>
      <c r="AR32" s="33" t="n"/>
      <c r="AS32" s="33" t="n"/>
      <c r="AT32" s="73" t="n">
        <v>0</v>
      </c>
      <c r="AU32" s="33" t="inlineStr">
        <is>
          <t>no</t>
        </is>
      </c>
      <c r="AV32" s="33" t="inlineStr">
        <is>
          <t>Inversión</t>
        </is>
      </c>
      <c r="AW32" s="33" t="n"/>
      <c r="AX32" s="33" t="inlineStr">
        <is>
          <t>Pardaleras</t>
        </is>
      </c>
      <c r="BB32">
        <f>IF(A32="RESERVADO",S32,"LIBRE")</f>
        <v/>
      </c>
      <c r="BC32" s="218" t="inlineStr">
        <is>
          <t>ES30 2080 3578 80030 4008 5577</t>
        </is>
      </c>
    </row>
    <row r="33" ht="14.25" customHeight="1">
      <c r="A33" s="31" t="inlineStr">
        <is>
          <t>RESERVADO</t>
        </is>
      </c>
      <c r="B33" s="417" t="n">
        <v>45330</v>
      </c>
      <c r="C33" s="417" t="n">
        <v>45397</v>
      </c>
      <c r="D33" s="353" t="n"/>
      <c r="E33" s="239" t="n">
        <v>22</v>
      </c>
      <c r="F33" s="74" t="n">
        <v>1</v>
      </c>
      <c r="G33" s="102" t="n">
        <v>3</v>
      </c>
      <c r="H33" s="75" t="inlineStr">
        <is>
          <t>E</t>
        </is>
      </c>
      <c r="I33" s="75" t="n">
        <v>2</v>
      </c>
      <c r="J33" s="36" t="n">
        <v>11</v>
      </c>
      <c r="K33" s="36" t="n">
        <v>15</v>
      </c>
      <c r="L33" s="36" t="inlineStr">
        <is>
          <t>.</t>
        </is>
      </c>
      <c r="M33" s="36" t="inlineStr">
        <is>
          <t>.</t>
        </is>
      </c>
      <c r="N33" s="76" t="n">
        <v>64.06999999999999</v>
      </c>
      <c r="O33" s="76" t="n">
        <v>2.68</v>
      </c>
      <c r="P33" s="76" t="n">
        <v>66.75</v>
      </c>
      <c r="Q33" s="77" t="n">
        <v>85.31999999999999</v>
      </c>
      <c r="R33" s="78" t="n"/>
      <c r="S33" s="79" t="n">
        <v>184000</v>
      </c>
      <c r="T33" s="41" t="n">
        <v>18400</v>
      </c>
      <c r="U33" s="365" t="n">
        <v>202400</v>
      </c>
      <c r="V33" s="70" t="n">
        <v>6072</v>
      </c>
      <c r="W33" s="70" t="n">
        <v>20240</v>
      </c>
      <c r="X33" s="42" t="n">
        <v>10120</v>
      </c>
      <c r="Y33" s="42" t="n">
        <v>18768</v>
      </c>
      <c r="Z33" s="334" t="n">
        <v>147200</v>
      </c>
      <c r="AA33" s="495">
        <f>AA32+2</f>
        <v/>
      </c>
      <c r="AB33" s="43" t="inlineStr">
        <is>
          <t>TRINIDAD VILLALOBOS SAAVEDRA</t>
        </is>
      </c>
      <c r="AC33" s="72" t="n"/>
      <c r="AD33" s="45" t="n"/>
      <c r="AE33" s="408" t="inlineStr">
        <is>
          <t>trivillasa@gmail.com</t>
        </is>
      </c>
      <c r="AF33" s="30" t="inlineStr">
        <is>
          <t>…..............</t>
        </is>
      </c>
      <c r="AG33" s="30" t="n"/>
      <c r="AH33" s="47" t="n"/>
      <c r="AI33" s="257" t="n"/>
      <c r="AJ33" s="30" t="n"/>
      <c r="AK33" s="88" t="inlineStr">
        <is>
          <t>Av. Miguel Angel Celdran Matu, 14 -4ºIz, Badajoz</t>
        </is>
      </c>
      <c r="AL33" s="89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BB33">
        <f>IF(A33="RESERVADO",S33,"LIBRE")</f>
        <v/>
      </c>
      <c r="BC33" s="218" t="inlineStr">
        <is>
          <t>ES06 0182 2874 0502 0158 0919</t>
        </is>
      </c>
    </row>
    <row r="34" ht="14.25" customHeight="1" thickBot="1">
      <c r="A34" s="31" t="inlineStr">
        <is>
          <t>RESERVADO</t>
        </is>
      </c>
      <c r="B34" s="417" t="n">
        <v>44874</v>
      </c>
      <c r="C34" s="417" t="n">
        <v>45397</v>
      </c>
      <c r="D34" s="353" t="n"/>
      <c r="E34" s="241" t="n">
        <v>23</v>
      </c>
      <c r="F34" s="81" t="n">
        <v>1</v>
      </c>
      <c r="G34" s="53" t="n">
        <v>3</v>
      </c>
      <c r="H34" s="53" t="inlineStr">
        <is>
          <t>F</t>
        </is>
      </c>
      <c r="I34" s="53" t="n">
        <v>2</v>
      </c>
      <c r="J34" s="36" t="n">
        <v>51</v>
      </c>
      <c r="K34" s="36" t="n">
        <v>46</v>
      </c>
      <c r="L34" s="103" t="inlineStr">
        <is>
          <t>.</t>
        </is>
      </c>
      <c r="M34" s="103" t="inlineStr">
        <is>
          <t>.</t>
        </is>
      </c>
      <c r="N34" s="71" t="n">
        <v>67.94</v>
      </c>
      <c r="O34" s="71" t="n">
        <v>3.1</v>
      </c>
      <c r="P34" s="71" t="n">
        <v>71.03999999999999</v>
      </c>
      <c r="Q34" s="83" t="n">
        <v>82.42</v>
      </c>
      <c r="R34" s="84" t="n"/>
      <c r="S34" s="85" t="n">
        <v>184000</v>
      </c>
      <c r="T34" s="104" t="n">
        <v>18400</v>
      </c>
      <c r="U34" s="366" t="n">
        <v>202400</v>
      </c>
      <c r="V34" s="104" t="n">
        <v>10120</v>
      </c>
      <c r="W34" s="96" t="n">
        <v>20240</v>
      </c>
      <c r="X34" s="58" t="n">
        <v>10120</v>
      </c>
      <c r="Y34" s="58" t="n">
        <v>14720</v>
      </c>
      <c r="Z34" s="335" t="n">
        <v>147200</v>
      </c>
      <c r="AA34" s="495">
        <f>AA33+2</f>
        <v/>
      </c>
      <c r="AB34" s="43" t="inlineStr">
        <is>
          <t>MARIA JOSEFA MANCHADO MORAGA</t>
        </is>
      </c>
      <c r="AC34" s="44" t="n"/>
      <c r="AD34" s="45" t="n"/>
      <c r="AE34" s="48" t="inlineStr">
        <is>
          <t>majosevva@gmail.com</t>
        </is>
      </c>
      <c r="AF34" s="46" t="inlineStr">
        <is>
          <t>MIGUEL ANGEL GARCIA OLIVARES</t>
        </is>
      </c>
      <c r="AG34" s="46" t="n"/>
      <c r="AH34" s="47" t="n"/>
      <c r="AI34" s="87" t="n"/>
      <c r="AJ34" s="30" t="inlineStr">
        <is>
          <t>casado</t>
        </is>
      </c>
      <c r="AK34" s="88" t="inlineStr">
        <is>
          <t>C/. Eduardo Pino 21 de Villanueva de la Serena (Badajoz)</t>
        </is>
      </c>
      <c r="AL34" s="89" t="n"/>
      <c r="AM34" s="90" t="inlineStr">
        <is>
          <t>hios</t>
        </is>
      </c>
      <c r="AN34" s="90" t="n">
        <v>49</v>
      </c>
      <c r="AO34" s="90" t="inlineStr">
        <is>
          <t>Profesora</t>
        </is>
      </c>
      <c r="AP34" s="90" t="n">
        <v>2300</v>
      </c>
      <c r="AQ34" s="90" t="n">
        <v>51</v>
      </c>
      <c r="AR34" s="90" t="inlineStr">
        <is>
          <t>Autonomo</t>
        </is>
      </c>
      <c r="AS34" s="33" t="n">
        <v>1800</v>
      </c>
      <c r="AT34" s="49" t="n">
        <v>0.4</v>
      </c>
      <c r="AU34" s="33" t="inlineStr">
        <is>
          <t>no</t>
        </is>
      </c>
      <c r="AV34" s="33" t="inlineStr">
        <is>
          <t>Inversión</t>
        </is>
      </c>
      <c r="AW34" s="33" t="n"/>
      <c r="AX34" s="33" t="inlineStr">
        <is>
          <t>Otra localidad (Villanueva)</t>
        </is>
      </c>
      <c r="BB34">
        <f>IF(A34="RESERVADO",S34,"LIBRE")</f>
        <v/>
      </c>
      <c r="BC34" s="218" t="inlineStr">
        <is>
          <t>ES76 0078 0035 02 401000 6986</t>
        </is>
      </c>
    </row>
    <row r="35" ht="14.25" customHeight="1">
      <c r="A35" s="31" t="inlineStr">
        <is>
          <t>RESERVADO</t>
        </is>
      </c>
      <c r="B35" s="417" t="n">
        <v>44638</v>
      </c>
      <c r="C35" s="417" t="n">
        <v>45412</v>
      </c>
      <c r="E35" s="240" t="n">
        <v>24</v>
      </c>
      <c r="F35" s="59" t="n">
        <v>1</v>
      </c>
      <c r="G35" s="60" t="n">
        <v>4</v>
      </c>
      <c r="H35" s="105" t="inlineStr">
        <is>
          <t>A</t>
        </is>
      </c>
      <c r="I35" s="105" t="n">
        <v>4</v>
      </c>
      <c r="J35" s="105" t="n">
        <v>41</v>
      </c>
      <c r="K35" s="105" t="n">
        <v>52</v>
      </c>
      <c r="L35" s="105" t="inlineStr">
        <is>
          <t>.</t>
        </is>
      </c>
      <c r="M35" s="105" t="inlineStr">
        <is>
          <t>.</t>
        </is>
      </c>
      <c r="N35" s="61" t="n">
        <v>97.98999999999999</v>
      </c>
      <c r="O35" s="61" t="n">
        <v>4.61</v>
      </c>
      <c r="P35" s="61" t="n">
        <v>102.6</v>
      </c>
      <c r="Q35" s="62" t="n">
        <v>119.19</v>
      </c>
      <c r="R35" s="61" t="n">
        <v>29.99</v>
      </c>
      <c r="S35" s="65" t="n">
        <v>276600</v>
      </c>
      <c r="T35" s="86" t="n">
        <v>27660</v>
      </c>
      <c r="U35" s="367" t="n">
        <v>304260</v>
      </c>
      <c r="V35" s="97" t="n">
        <v>15213</v>
      </c>
      <c r="W35" s="97" t="n">
        <v>30426</v>
      </c>
      <c r="X35" s="67" t="n">
        <v>15213</v>
      </c>
      <c r="Y35" s="67" t="n">
        <v>22128</v>
      </c>
      <c r="Z35" s="336" t="n">
        <v>221280</v>
      </c>
      <c r="AA35" s="495">
        <f>AA34+2</f>
        <v/>
      </c>
      <c r="AB35" s="43" t="inlineStr">
        <is>
          <t>SERVILIANO VALENCIA DIAZ</t>
        </is>
      </c>
      <c r="AC35" s="44" t="n"/>
      <c r="AD35" s="45" t="n"/>
      <c r="AE35" s="30" t="inlineStr">
        <is>
          <t>servilianovd@gmail.com</t>
        </is>
      </c>
      <c r="AF35" s="94" t="inlineStr">
        <is>
          <t>RAQUEL VIZUETE GONZALEZ</t>
        </is>
      </c>
      <c r="AG35" s="94" t="n"/>
      <c r="AH35" s="106" t="n"/>
      <c r="AI35" s="490" t="inlineStr">
        <is>
          <t>raquelvizuete@hotmail.com</t>
        </is>
      </c>
      <c r="AJ35" s="108" t="inlineStr">
        <is>
          <t>Casados</t>
        </is>
      </c>
      <c r="AK35" s="88" t="inlineStr">
        <is>
          <t>C/. Julio Cienfugos Linares 10, Derecha, 3º B de Badajoz</t>
        </is>
      </c>
      <c r="AL35" s="32" t="n"/>
      <c r="AM35" s="33" t="inlineStr">
        <is>
          <t>Hijos</t>
        </is>
      </c>
      <c r="AN35" s="33" t="n">
        <v>47</v>
      </c>
      <c r="AO35" s="33" t="inlineStr">
        <is>
          <t>Guardia Civil</t>
        </is>
      </c>
      <c r="AP35" s="33" t="n">
        <v>2100</v>
      </c>
      <c r="AQ35" s="33" t="n">
        <v>47</v>
      </c>
      <c r="AR35" s="33" t="inlineStr">
        <is>
          <t>Técnico operación aérea</t>
        </is>
      </c>
      <c r="AS35" s="33" t="n">
        <v>1900</v>
      </c>
      <c r="AT35" s="98" t="n">
        <v>0.8</v>
      </c>
      <c r="AU35" s="99" t="inlineStr">
        <is>
          <t>consideraran</t>
        </is>
      </c>
      <c r="AV35" s="33" t="inlineStr">
        <is>
          <t>Reposición</t>
        </is>
      </c>
      <c r="AW35" s="33" t="inlineStr">
        <is>
          <t>Más grande</t>
        </is>
      </c>
      <c r="AX35" s="33" t="inlineStr">
        <is>
          <t>Jardines</t>
        </is>
      </c>
      <c r="BB35">
        <f>IF(A35="RESERVADO",S35,"LIBRE")</f>
        <v/>
      </c>
      <c r="BC35" s="218" t="inlineStr">
        <is>
          <t>ES29 1465 0100 92 1729779798</t>
        </is>
      </c>
    </row>
    <row r="36" ht="14.25" customHeight="1">
      <c r="A36" s="31" t="inlineStr">
        <is>
          <t>RESERVADO</t>
        </is>
      </c>
      <c r="B36" s="417" t="n">
        <v>45343</v>
      </c>
      <c r="C36" s="417" t="n">
        <v>45383</v>
      </c>
      <c r="E36" s="239" t="n">
        <v>25</v>
      </c>
      <c r="F36" s="35" t="n">
        <v>1</v>
      </c>
      <c r="G36" s="100" t="n">
        <v>4</v>
      </c>
      <c r="H36" s="36" t="inlineStr">
        <is>
          <t>B</t>
        </is>
      </c>
      <c r="I36" s="36" t="n">
        <v>2</v>
      </c>
      <c r="J36" s="109" t="n">
        <v>8</v>
      </c>
      <c r="K36" s="109" t="n">
        <v>12</v>
      </c>
      <c r="L36" s="110" t="inlineStr">
        <is>
          <t>.</t>
        </is>
      </c>
      <c r="M36" s="110" t="inlineStr">
        <is>
          <t>.</t>
        </is>
      </c>
      <c r="N36" s="71" t="n">
        <v>67.94</v>
      </c>
      <c r="O36" s="71" t="n">
        <v>3.1</v>
      </c>
      <c r="P36" s="71" t="n">
        <v>71.03999999999999</v>
      </c>
      <c r="Q36" s="71" t="n">
        <v>82.42</v>
      </c>
      <c r="R36" s="69" t="n"/>
      <c r="S36" s="39" t="n">
        <v>189900</v>
      </c>
      <c r="T36" s="41" t="n">
        <v>18990</v>
      </c>
      <c r="U36" s="365" t="n">
        <v>208890</v>
      </c>
      <c r="V36" s="70" t="n">
        <v>6266.7</v>
      </c>
      <c r="W36" s="70" t="n">
        <v>20899</v>
      </c>
      <c r="X36" s="42" t="n">
        <v>10444.5</v>
      </c>
      <c r="Y36" s="42" t="n">
        <v>19359.79999999999</v>
      </c>
      <c r="Z36" s="334" t="n">
        <v>151920</v>
      </c>
      <c r="AA36" s="495">
        <f>AA35+2</f>
        <v/>
      </c>
      <c r="AB36" s="219" t="inlineStr">
        <is>
          <t>ANTONIO SANTIAGO ROMERO</t>
        </is>
      </c>
      <c r="AC36" s="72" t="n"/>
      <c r="AD36" s="45" t="n"/>
      <c r="AE36" s="48" t="inlineStr">
        <is>
          <t>ansaro7@outlook.es</t>
        </is>
      </c>
      <c r="AF36" s="30" t="inlineStr">
        <is>
          <t>ANGELA IGLESIAS DOMINGUEZ</t>
        </is>
      </c>
      <c r="AG36" s="30" t="n"/>
      <c r="AH36" s="47" t="n"/>
      <c r="AI36" s="87" t="n"/>
      <c r="AJ36" s="30" t="inlineStr">
        <is>
          <t>Casados</t>
        </is>
      </c>
      <c r="AK36" s="88" t="inlineStr">
        <is>
          <t>C/. De la Cebada 7, Cáceres</t>
        </is>
      </c>
      <c r="AL36" s="32" t="n"/>
      <c r="AM36" s="33" t="n"/>
      <c r="AN36" s="33" t="n">
        <v>64</v>
      </c>
      <c r="AO36" s="33" t="inlineStr">
        <is>
          <t>jubilado</t>
        </is>
      </c>
      <c r="AP36" s="33" t="n"/>
      <c r="AQ36" s="33" t="n">
        <v>68</v>
      </c>
      <c r="AR36" s="33" t="inlineStr">
        <is>
          <t>jubilado</t>
        </is>
      </c>
      <c r="AS36" s="33" t="n"/>
      <c r="AT36" s="33" t="n">
        <v>0</v>
      </c>
      <c r="AU36" s="33" t="inlineStr">
        <is>
          <t>no</t>
        </is>
      </c>
      <c r="AV36" s="33" t="n"/>
      <c r="AW36" s="33" t="inlineStr">
        <is>
          <t>Res. Ocasional</t>
        </is>
      </c>
      <c r="AX36" s="33" t="inlineStr">
        <is>
          <t>Cáceres</t>
        </is>
      </c>
      <c r="BB36">
        <f>IF(A36="RESERVADO",S36,"LIBRE")</f>
        <v/>
      </c>
      <c r="BC36" s="218" t="inlineStr">
        <is>
          <t>ES57 0182 0395 8402 0000 5781</t>
        </is>
      </c>
    </row>
    <row r="37" ht="14.25" customHeight="1">
      <c r="A37" s="88" t="inlineStr">
        <is>
          <t>RESERVADO</t>
        </is>
      </c>
      <c r="B37" s="416" t="n">
        <v>45336</v>
      </c>
      <c r="C37" s="416" t="n">
        <v>45392</v>
      </c>
      <c r="D37" s="353" t="n"/>
      <c r="E37" s="239" t="n">
        <v>26</v>
      </c>
      <c r="F37" s="74" t="n">
        <v>1</v>
      </c>
      <c r="G37" s="102" t="n">
        <v>4</v>
      </c>
      <c r="H37" s="75" t="inlineStr">
        <is>
          <t>C</t>
        </is>
      </c>
      <c r="I37" s="75" t="n">
        <v>2</v>
      </c>
      <c r="J37" s="75" t="n">
        <v>65</v>
      </c>
      <c r="K37" s="75" t="n">
        <v>59</v>
      </c>
      <c r="L37" s="110" t="inlineStr">
        <is>
          <t>.</t>
        </is>
      </c>
      <c r="M37" s="110" t="inlineStr">
        <is>
          <t>.</t>
        </is>
      </c>
      <c r="N37" s="76" t="n">
        <v>64.06999999999999</v>
      </c>
      <c r="O37" s="76" t="n">
        <v>2.68</v>
      </c>
      <c r="P37" s="76" t="n">
        <v>66.75</v>
      </c>
      <c r="Q37" s="77" t="n">
        <v>85.31999999999999</v>
      </c>
      <c r="R37" s="78" t="n"/>
      <c r="S37" s="79" t="n">
        <v>187000</v>
      </c>
      <c r="T37" s="41" t="n">
        <v>18700</v>
      </c>
      <c r="U37" s="365" t="n">
        <v>205700</v>
      </c>
      <c r="V37" s="236" t="n">
        <v>6171</v>
      </c>
      <c r="W37" s="70" t="n">
        <v>20570</v>
      </c>
      <c r="X37" s="42" t="n">
        <v>10285</v>
      </c>
      <c r="Y37" s="42" t="n">
        <v>19074</v>
      </c>
      <c r="Z37" s="334" t="n">
        <v>149600</v>
      </c>
      <c r="AA37" s="495">
        <f>AA36+2</f>
        <v/>
      </c>
      <c r="AB37" s="219" t="inlineStr">
        <is>
          <t>VICENTE MIGUEL SUAREZ MARTIN</t>
        </is>
      </c>
      <c r="AC37" s="220" t="n"/>
      <c r="AD37" s="347" t="n"/>
      <c r="AE37" s="30" t="n"/>
      <c r="AF37" s="30" t="n"/>
      <c r="AG37" s="30" t="n"/>
      <c r="AH37" s="47" t="n"/>
      <c r="AI37" s="87" t="n"/>
      <c r="AJ37" s="30" t="n"/>
      <c r="AK37" s="88" t="inlineStr">
        <is>
          <t>C/. Diputación 5, Monterrubio de la Serena (Badajoz)</t>
        </is>
      </c>
      <c r="AL37" s="32" t="n"/>
      <c r="AM37" s="33" t="n"/>
      <c r="AN37" s="33" t="n">
        <v>53</v>
      </c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  <c r="AX37" s="33" t="n"/>
      <c r="BB37">
        <f>IF(A37="RESERVADO",S37,"LIBRE")</f>
        <v/>
      </c>
      <c r="BC37" s="218" t="inlineStr">
        <is>
          <t>ES39 2103 7308 9300 1003 9384</t>
        </is>
      </c>
    </row>
    <row r="38" ht="14.25" customHeight="1" thickBot="1">
      <c r="A38" s="88" t="inlineStr">
        <is>
          <t>RESERVADO</t>
        </is>
      </c>
      <c r="B38" s="416" t="n">
        <v>45319</v>
      </c>
      <c r="C38" s="416" t="n">
        <v>45392</v>
      </c>
      <c r="D38" s="353" t="n"/>
      <c r="E38" s="241" t="n">
        <v>27</v>
      </c>
      <c r="F38" s="81" t="n">
        <v>1</v>
      </c>
      <c r="G38" s="82" t="n">
        <v>4</v>
      </c>
      <c r="H38" s="82" t="inlineStr">
        <is>
          <t>D</t>
        </is>
      </c>
      <c r="I38" s="53" t="n">
        <v>2</v>
      </c>
      <c r="J38" s="53" t="n">
        <v>53</v>
      </c>
      <c r="K38" s="53" t="n">
        <v>19</v>
      </c>
      <c r="L38" s="53" t="inlineStr">
        <is>
          <t>.</t>
        </is>
      </c>
      <c r="M38" s="53" t="inlineStr">
        <is>
          <t>.</t>
        </is>
      </c>
      <c r="N38" s="71" t="n">
        <v>67.94</v>
      </c>
      <c r="O38" s="71" t="n">
        <v>3.1</v>
      </c>
      <c r="P38" s="71" t="n">
        <v>71.03999999999999</v>
      </c>
      <c r="Q38" s="83" t="n">
        <v>82.42</v>
      </c>
      <c r="R38" s="84" t="n"/>
      <c r="S38" s="85" t="n">
        <v>189900</v>
      </c>
      <c r="T38" s="104" t="n">
        <v>18990</v>
      </c>
      <c r="U38" s="366" t="n">
        <v>208890</v>
      </c>
      <c r="V38" s="96" t="n">
        <v>6266.7</v>
      </c>
      <c r="W38" s="96" t="n">
        <v>20889</v>
      </c>
      <c r="X38" s="58" t="n">
        <v>10444.5</v>
      </c>
      <c r="Y38" s="58" t="n">
        <v>19369.79999999999</v>
      </c>
      <c r="Z38" s="335" t="n">
        <v>151920</v>
      </c>
      <c r="AA38" s="495">
        <f>AA37+2</f>
        <v/>
      </c>
      <c r="AB38" s="219" t="inlineStr">
        <is>
          <t>ELENA SANCHEZ RICO</t>
        </is>
      </c>
      <c r="AC38" s="72" t="n"/>
      <c r="AD38" s="45" t="n"/>
      <c r="AE38" s="48" t="inlineStr">
        <is>
          <t>eschzrico@gmail.com</t>
        </is>
      </c>
      <c r="AF38" s="30" t="inlineStr">
        <is>
          <t>…................</t>
        </is>
      </c>
      <c r="AG38" s="30" t="n"/>
      <c r="AH38" s="47" t="n"/>
      <c r="AI38" s="87" t="inlineStr">
        <is>
          <t>…...........</t>
        </is>
      </c>
      <c r="AJ38" s="30" t="inlineStr">
        <is>
          <t>soltera</t>
        </is>
      </c>
      <c r="AK38" s="88" t="inlineStr">
        <is>
          <t>C/. Julia Urdiain Zubelzu 3; bloque 2, 3º D de Badajoz</t>
        </is>
      </c>
      <c r="AL38" s="32" t="n"/>
      <c r="AM38" s="33" t="inlineStr">
        <is>
          <t>no</t>
        </is>
      </c>
      <c r="AN38" s="33" t="n"/>
      <c r="AO38" s="33" t="inlineStr">
        <is>
          <t>policias nac.</t>
        </is>
      </c>
      <c r="AP38" s="33" t="n"/>
      <c r="AQ38" s="33" t="n"/>
      <c r="AR38" s="33" t="n"/>
      <c r="AS38" s="33" t="n"/>
      <c r="AT38" s="33" t="n"/>
      <c r="AU38" s="33" t="n"/>
      <c r="AV38" s="33" t="n"/>
      <c r="AW38" s="33" t="n"/>
      <c r="AX38" s="33" t="n"/>
      <c r="BB38">
        <f>IF(A38="RESERVADO",S38,"LIBRE")</f>
        <v/>
      </c>
      <c r="BC38" s="218" t="inlineStr">
        <is>
          <t>ES38 0182 2874 0102 0165 1640</t>
        </is>
      </c>
    </row>
    <row r="39" ht="14.25" customHeight="1">
      <c r="A39" s="31" t="inlineStr">
        <is>
          <t>RESERVADO</t>
        </is>
      </c>
      <c r="B39" s="417" t="n">
        <v>44638</v>
      </c>
      <c r="C39" s="417" t="n">
        <v>45405</v>
      </c>
      <c r="E39" s="345" t="n">
        <v>28</v>
      </c>
      <c r="F39" s="59" t="n">
        <v>1</v>
      </c>
      <c r="G39" s="105" t="n">
        <v>5</v>
      </c>
      <c r="H39" s="105" t="inlineStr">
        <is>
          <t>A</t>
        </is>
      </c>
      <c r="I39" s="105" t="n">
        <v>4</v>
      </c>
      <c r="J39" s="36" t="n">
        <v>52</v>
      </c>
      <c r="K39" s="36" t="n">
        <v>47</v>
      </c>
      <c r="L39" s="105" t="n">
        <v>49</v>
      </c>
      <c r="M39" s="105" t="inlineStr">
        <is>
          <t>.</t>
        </is>
      </c>
      <c r="N39" s="111" t="n">
        <v>97.98999999999999</v>
      </c>
      <c r="O39" s="111" t="n">
        <v>0</v>
      </c>
      <c r="P39" s="111" t="n">
        <v>97.98999999999999</v>
      </c>
      <c r="Q39" s="111" t="n">
        <v>114.66</v>
      </c>
      <c r="R39" s="111" t="n">
        <v>13.1</v>
      </c>
      <c r="S39" s="434" t="n">
        <v>270415</v>
      </c>
      <c r="T39" s="86" t="n">
        <v>27041.5</v>
      </c>
      <c r="U39" s="367" t="n">
        <v>297456.5</v>
      </c>
      <c r="V39" s="86" t="n">
        <v>0</v>
      </c>
      <c r="W39" s="97" t="n">
        <v>83709.97</v>
      </c>
      <c r="X39" s="67" t="n">
        <v>5250</v>
      </c>
      <c r="Y39" s="42" t="n">
        <v>18750.03</v>
      </c>
      <c r="Z39" s="336" t="n">
        <v>189746.5</v>
      </c>
      <c r="AA39" s="495">
        <f>AA38+2</f>
        <v/>
      </c>
      <c r="AB39" s="43" t="inlineStr">
        <is>
          <t>JOE MANUEL ROMERO MATOS</t>
        </is>
      </c>
      <c r="AC39" s="44" t="n"/>
      <c r="AD39" s="45" t="n"/>
      <c r="AE39" s="108" t="inlineStr">
        <is>
          <t>jmromeromatos@gmail.com</t>
        </is>
      </c>
      <c r="AF39" s="30" t="inlineStr">
        <is>
          <t>----------------</t>
        </is>
      </c>
      <c r="AG39" s="30" t="n"/>
      <c r="AH39" s="47" t="n"/>
      <c r="AI39" s="87" t="n"/>
      <c r="AJ39" s="30" t="n"/>
      <c r="AK39" s="88" t="inlineStr">
        <is>
          <t>C/. Antonio de Nebrija, 6 A, 2ºB - 06006 Badajoz</t>
        </is>
      </c>
      <c r="AL39" s="32" t="n"/>
      <c r="AM39" s="33" t="n"/>
      <c r="AN39" s="33" t="n"/>
      <c r="AO39" s="33" t="n"/>
      <c r="AP39" s="33" t="n"/>
      <c r="AQ39" s="33" t="n"/>
      <c r="AR39" s="33" t="n"/>
      <c r="AS39" s="33" t="n"/>
      <c r="AT39" s="49" t="n">
        <v>0.5</v>
      </c>
      <c r="AU39" s="33" t="n"/>
      <c r="AV39" s="33" t="inlineStr">
        <is>
          <t>Reposición</t>
        </is>
      </c>
      <c r="AW39" s="33" t="n"/>
      <c r="AX39" s="33" t="inlineStr">
        <is>
          <t>Jardines</t>
        </is>
      </c>
      <c r="BB39">
        <f>IF(A39="RESERVADO",S39,"LIBRE")</f>
        <v/>
      </c>
      <c r="BC39" s="218" t="inlineStr">
        <is>
          <t>ES40 2100 2194 7602 0026 4280</t>
        </is>
      </c>
      <c r="BD39" s="429" t="inlineStr">
        <is>
          <t>ES44 2100 2194 7302 0034 6320</t>
        </is>
      </c>
    </row>
    <row r="40" ht="14.25" customHeight="1">
      <c r="A40" s="88" t="inlineStr">
        <is>
          <t>RESERVADO</t>
        </is>
      </c>
      <c r="B40" s="33" t="n"/>
      <c r="C40" s="417" t="n">
        <v>45898</v>
      </c>
      <c r="E40" s="128" t="n">
        <v>29</v>
      </c>
      <c r="F40" s="35" t="n">
        <v>1</v>
      </c>
      <c r="G40" s="36" t="n">
        <v>5</v>
      </c>
      <c r="H40" s="100" t="inlineStr">
        <is>
          <t>B</t>
        </is>
      </c>
      <c r="I40" s="100" t="n">
        <v>4</v>
      </c>
      <c r="J40" s="348" t="n">
        <v>19</v>
      </c>
      <c r="K40" s="349" t="n">
        <v>27</v>
      </c>
      <c r="L40" s="100" t="inlineStr">
        <is>
          <t>.</t>
        </is>
      </c>
      <c r="M40" s="100" t="inlineStr">
        <is>
          <t>.</t>
        </is>
      </c>
      <c r="N40" s="71" t="n">
        <v>113.23</v>
      </c>
      <c r="O40" s="71" t="n">
        <v>3.88</v>
      </c>
      <c r="P40" s="37" t="n">
        <v>117.11</v>
      </c>
      <c r="Q40" s="101" t="n">
        <v>134.23</v>
      </c>
      <c r="R40" s="101" t="n">
        <v>7.8</v>
      </c>
      <c r="S40" s="438" t="n">
        <v>305000</v>
      </c>
      <c r="T40" s="41" t="n">
        <v>30500</v>
      </c>
      <c r="U40" s="365" t="n">
        <v>335500</v>
      </c>
      <c r="V40" s="42" t="n">
        <v>0</v>
      </c>
      <c r="W40" s="70" t="n">
        <v>40260</v>
      </c>
      <c r="X40" s="42" t="n">
        <v>10065</v>
      </c>
      <c r="Y40" s="42" t="n">
        <v>41175</v>
      </c>
      <c r="Z40" s="334" t="n">
        <v>244000</v>
      </c>
      <c r="AA40" s="495">
        <f>AA39+2</f>
        <v/>
      </c>
      <c r="AB40" s="43" t="inlineStr">
        <is>
          <t>SANTIAGO TOLOSA ALVAREZ</t>
        </is>
      </c>
      <c r="AC40" s="44" t="n"/>
      <c r="AD40" s="48" t="n"/>
      <c r="AE40" s="30" t="inlineStr">
        <is>
          <t>santi.tolosa.alvarez@gmail.com</t>
        </is>
      </c>
      <c r="AF40" s="94" t="n"/>
      <c r="AG40" s="94" t="n"/>
      <c r="AH40" s="106" t="n"/>
      <c r="AI40" s="107" t="n"/>
      <c r="AJ40" s="108" t="inlineStr">
        <is>
          <t>soltero</t>
        </is>
      </c>
      <c r="AK40" s="88" t="inlineStr">
        <is>
          <t>C/. Martires 56, 2ºIz - Almendralejo (Badajoz)</t>
        </is>
      </c>
      <c r="AL40" s="32" t="n"/>
      <c r="AM40" s="33" t="n"/>
      <c r="AN40" s="33" t="n"/>
      <c r="AO40" s="33" t="n"/>
      <c r="AP40" s="33" t="n"/>
      <c r="AQ40" s="33" t="n"/>
      <c r="AR40" s="33" t="n"/>
      <c r="AS40" s="33" t="n"/>
      <c r="AT40" s="33" t="n"/>
      <c r="AU40" s="33" t="n"/>
      <c r="AV40" s="33" t="n"/>
      <c r="AW40" s="33" t="n"/>
      <c r="AX40" s="33" t="n"/>
      <c r="BB40">
        <f>IF(A40="RESERVADO",S40,"LIBRE")</f>
        <v/>
      </c>
      <c r="BC40" s="218" t="inlineStr">
        <is>
          <t>ES72 1586 0001 4308 8600 0511</t>
        </is>
      </c>
    </row>
    <row r="41" ht="14.25" customHeight="1" thickBot="1">
      <c r="A41" s="31" t="inlineStr">
        <is>
          <t>RESERVADO</t>
        </is>
      </c>
      <c r="B41" s="417" t="n">
        <v>44662</v>
      </c>
      <c r="C41" s="417" t="n">
        <v>45411</v>
      </c>
      <c r="D41" s="353" t="n"/>
      <c r="E41" s="346" t="n">
        <v>30</v>
      </c>
      <c r="F41" s="114" t="n">
        <v>1</v>
      </c>
      <c r="G41" s="115" t="n">
        <v>5</v>
      </c>
      <c r="H41" s="115" t="inlineStr">
        <is>
          <t>C</t>
        </is>
      </c>
      <c r="I41" s="115" t="n">
        <v>4</v>
      </c>
      <c r="J41" s="115" t="n">
        <v>46</v>
      </c>
      <c r="K41" s="115" t="n">
        <v>45</v>
      </c>
      <c r="L41" s="115" t="inlineStr">
        <is>
          <t>.</t>
        </is>
      </c>
      <c r="M41" s="115" t="inlineStr">
        <is>
          <t>.</t>
        </is>
      </c>
      <c r="N41" s="116" t="n">
        <v>112.01</v>
      </c>
      <c r="O41" s="116" t="n">
        <v>3.88</v>
      </c>
      <c r="P41" s="237" t="n">
        <v>115.89</v>
      </c>
      <c r="Q41" s="237" t="n">
        <v>134.04</v>
      </c>
      <c r="R41" s="237" t="n">
        <v>7.8</v>
      </c>
      <c r="S41" s="117" t="n">
        <v>271400</v>
      </c>
      <c r="T41" s="357" t="n">
        <v>27140</v>
      </c>
      <c r="U41" s="368" t="n">
        <v>298540</v>
      </c>
      <c r="V41" s="119" t="n">
        <v>14927</v>
      </c>
      <c r="W41" s="119" t="n">
        <v>29854</v>
      </c>
      <c r="X41" s="120" t="n">
        <v>14927</v>
      </c>
      <c r="Y41" s="120" t="n">
        <v>21712</v>
      </c>
      <c r="Z41" s="337" t="n">
        <v>217120</v>
      </c>
      <c r="AA41" s="495">
        <f>AA40+2</f>
        <v/>
      </c>
      <c r="AB41" s="43" t="inlineStr">
        <is>
          <t>ANGEL GUTIERREZ ROBLES</t>
        </is>
      </c>
      <c r="AC41" s="44" t="n"/>
      <c r="AD41" s="45" t="n"/>
      <c r="AE41" s="48" t="inlineStr">
        <is>
          <t>angelgutiez@gmail.com</t>
        </is>
      </c>
      <c r="AF41" s="94" t="inlineStr">
        <is>
          <t>DOLORES ALBA GARCIA</t>
        </is>
      </c>
      <c r="AG41" s="46" t="n"/>
      <c r="AH41" s="106" t="n"/>
      <c r="AI41" s="354" t="inlineStr">
        <is>
          <t>albatecnico@hotmail.com</t>
        </is>
      </c>
      <c r="AJ41" s="30" t="inlineStr">
        <is>
          <t>casados en separación de bienes</t>
        </is>
      </c>
      <c r="AK41" s="88" t="inlineStr">
        <is>
          <t>C/. Francisco Guerra 16, 2ºD de Badajoz</t>
        </is>
      </c>
      <c r="AL41" s="32" t="n"/>
      <c r="AM41" s="33" t="inlineStr">
        <is>
          <t>si</t>
        </is>
      </c>
      <c r="AN41" s="33" t="n">
        <v>47</v>
      </c>
      <c r="AO41" s="33" t="inlineStr">
        <is>
          <t>Ingeniero Sof.</t>
        </is>
      </c>
      <c r="AP41" s="33" t="n">
        <v>2100</v>
      </c>
      <c r="AQ41" s="33" t="n">
        <v>45</v>
      </c>
      <c r="AR41" s="33" t="inlineStr">
        <is>
          <t>Funcionaria</t>
        </is>
      </c>
      <c r="AS41" s="33" t="n">
        <v>2200</v>
      </c>
      <c r="AT41" s="98" t="n">
        <v>0.8</v>
      </c>
      <c r="AU41" s="99" t="inlineStr">
        <is>
          <t>consideraran</t>
        </is>
      </c>
      <c r="AV41" s="33" t="inlineStr">
        <is>
          <t>Reposición</t>
        </is>
      </c>
      <c r="AW41" s="33" t="n"/>
      <c r="AX41" s="33" t="inlineStr">
        <is>
          <t>La Paz</t>
        </is>
      </c>
      <c r="BB41">
        <f>IF(A41="RESERVADO",S41,"LIBRE")</f>
        <v/>
      </c>
      <c r="BC41" s="218" t="inlineStr">
        <is>
          <t>ES36 0049 5953 2621 1620 7535</t>
        </is>
      </c>
      <c r="BD41" s="218" t="n"/>
    </row>
    <row r="42" ht="14.25" customHeight="1">
      <c r="A42" s="88" t="inlineStr">
        <is>
          <t>RESERVADO</t>
        </is>
      </c>
      <c r="B42" s="420" t="n"/>
      <c r="C42" s="421" t="n">
        <v>46006</v>
      </c>
      <c r="E42" s="121" t="n">
        <v>31</v>
      </c>
      <c r="F42" s="122" t="n">
        <v>2</v>
      </c>
      <c r="G42" s="123" t="inlineStr">
        <is>
          <t>BAJA</t>
        </is>
      </c>
      <c r="H42" s="123" t="inlineStr">
        <is>
          <t>A</t>
        </is>
      </c>
      <c r="I42" s="123" t="n">
        <v>5</v>
      </c>
      <c r="J42" s="123" t="n">
        <v>22</v>
      </c>
      <c r="K42" s="123" t="n">
        <v>30</v>
      </c>
      <c r="L42" s="123" t="inlineStr">
        <is>
          <t>.</t>
        </is>
      </c>
      <c r="M42" s="123" t="inlineStr">
        <is>
          <t>.</t>
        </is>
      </c>
      <c r="N42" s="124" t="n">
        <v>136.79</v>
      </c>
      <c r="O42" s="124" t="n">
        <v>9.460000000000001</v>
      </c>
      <c r="P42" s="124" t="n">
        <v>146.25</v>
      </c>
      <c r="Q42" s="124" t="n">
        <v>167.59</v>
      </c>
      <c r="R42" s="124" t="n">
        <v>27.56</v>
      </c>
      <c r="S42" s="439" t="n">
        <v>380000</v>
      </c>
      <c r="T42" s="358" t="n">
        <v>38000</v>
      </c>
      <c r="U42" s="369" t="n">
        <v>418000</v>
      </c>
      <c r="V42" s="127" t="n">
        <v>0</v>
      </c>
      <c r="W42" s="127" t="n">
        <v>62700</v>
      </c>
      <c r="X42" s="127" t="n">
        <v>0</v>
      </c>
      <c r="Y42" s="127" t="n">
        <v>51300</v>
      </c>
      <c r="Z42" s="338" t="n">
        <v>304000</v>
      </c>
      <c r="AA42" s="495">
        <f>AA41+2</f>
        <v/>
      </c>
      <c r="AB42" s="251" t="inlineStr">
        <is>
          <t>MARIA DE LOS ANGELES NAVARRETE GOMEZ</t>
        </is>
      </c>
      <c r="AC42" s="72" t="n"/>
      <c r="AD42" s="45" t="n"/>
      <c r="AE42" s="30" t="inlineStr">
        <is>
          <t>maria.navarreteg@salud-juntaex.es</t>
        </is>
      </c>
      <c r="AF42" s="30" t="n"/>
      <c r="AG42" s="30" t="n"/>
      <c r="AH42" s="47" t="n"/>
      <c r="AI42" s="87" t="n"/>
      <c r="AJ42" s="30" t="n"/>
      <c r="AK42" s="88" t="n"/>
      <c r="AL42" s="32" t="n"/>
      <c r="AM42" s="33" t="n"/>
      <c r="AN42" s="33" t="n"/>
      <c r="AO42" s="33" t="n"/>
      <c r="AP42" s="33" t="n"/>
      <c r="AQ42" s="33" t="n"/>
      <c r="AR42" s="33" t="n"/>
      <c r="AS42" s="33" t="n"/>
      <c r="AT42" s="33" t="n"/>
      <c r="AU42" s="33" t="n"/>
      <c r="AV42" s="33" t="n"/>
      <c r="AW42" s="33" t="n"/>
      <c r="AX42" s="33" t="n"/>
      <c r="BB42">
        <f>IF(A42="RESERVADO",S42,"LIBRE")</f>
        <v/>
      </c>
      <c r="BC42" s="218" t="n"/>
    </row>
    <row r="43" ht="14.25" customHeight="1">
      <c r="A43" s="442" t="inlineStr">
        <is>
          <t>DISPONIBLE</t>
        </is>
      </c>
      <c r="B43" s="90" t="n"/>
      <c r="C43" s="416" t="n"/>
      <c r="E43" s="128" t="n">
        <v>32</v>
      </c>
      <c r="F43" s="129" t="n">
        <v>2</v>
      </c>
      <c r="G43" s="130" t="inlineStr">
        <is>
          <t>BAJA</t>
        </is>
      </c>
      <c r="H43" s="131" t="inlineStr">
        <is>
          <t>B</t>
        </is>
      </c>
      <c r="I43" s="131" t="n">
        <v>4</v>
      </c>
      <c r="J43" s="131" t="n">
        <v>21</v>
      </c>
      <c r="K43" s="131" t="n">
        <v>29</v>
      </c>
      <c r="L43" s="131" t="inlineStr">
        <is>
          <t>.</t>
        </is>
      </c>
      <c r="M43" s="131" t="inlineStr">
        <is>
          <t>.</t>
        </is>
      </c>
      <c r="N43" s="37" t="n">
        <v>111.63</v>
      </c>
      <c r="O43" s="37" t="n">
        <v>9.640000000000001</v>
      </c>
      <c r="P43" s="37" t="n">
        <v>121.27</v>
      </c>
      <c r="Q43" s="51" t="n">
        <v>138.9</v>
      </c>
      <c r="R43" s="37" t="n">
        <v>31.74</v>
      </c>
      <c r="S43" s="440" t="n">
        <v>318200</v>
      </c>
      <c r="T43" s="359" t="n">
        <v>31820</v>
      </c>
      <c r="U43" s="370" t="n">
        <v>350020</v>
      </c>
      <c r="V43" s="134" t="n">
        <v>0</v>
      </c>
      <c r="W43" s="134" t="n">
        <v>38184</v>
      </c>
      <c r="X43" s="134" t="n">
        <v>9546</v>
      </c>
      <c r="Y43" s="134" t="n">
        <v>47730</v>
      </c>
      <c r="Z43" s="326" t="n">
        <v>254560</v>
      </c>
      <c r="AA43" s="495">
        <f>AA42+2</f>
        <v/>
      </c>
      <c r="AB43" s="43" t="n"/>
      <c r="AC43" s="44" t="n"/>
      <c r="AD43" s="45" t="n"/>
      <c r="AE43" s="30" t="n"/>
      <c r="AF43" s="94" t="n"/>
      <c r="AG43" s="94" t="n"/>
      <c r="AH43" s="106" t="n"/>
      <c r="AI43" s="107" t="n"/>
      <c r="AJ43" s="108" t="n"/>
      <c r="AK43" s="88" t="n"/>
      <c r="AL43" s="32" t="n"/>
      <c r="AM43" s="33" t="n"/>
      <c r="AN43" s="33" t="n"/>
      <c r="AO43" s="33" t="n"/>
      <c r="AP43" s="33" t="n"/>
      <c r="AQ43" s="33" t="n"/>
      <c r="AR43" s="33" t="n"/>
      <c r="AS43" s="33" t="n"/>
      <c r="AT43" s="33" t="n"/>
      <c r="AU43" s="33" t="n"/>
      <c r="AV43" s="33" t="n"/>
      <c r="AW43" s="33" t="n"/>
      <c r="AX43" s="33" t="n"/>
      <c r="BB43">
        <f>IF(A43="RESERVADO",S43,"LIBRE")</f>
        <v/>
      </c>
      <c r="BC43" s="218" t="n"/>
    </row>
    <row r="44" ht="14.25" customHeight="1">
      <c r="A44" s="31" t="inlineStr">
        <is>
          <t>RESERVADO</t>
        </is>
      </c>
      <c r="B44" s="33" t="inlineStr">
        <is>
          <t>25/19/22</t>
        </is>
      </c>
      <c r="C44" s="417" t="n">
        <v>45383</v>
      </c>
      <c r="E44" s="128" t="n">
        <v>33</v>
      </c>
      <c r="F44" s="129" t="n">
        <v>2</v>
      </c>
      <c r="G44" s="135" t="inlineStr">
        <is>
          <t>BAJA</t>
        </is>
      </c>
      <c r="H44" s="130" t="inlineStr">
        <is>
          <t>C</t>
        </is>
      </c>
      <c r="I44" s="130" t="n">
        <v>3</v>
      </c>
      <c r="J44" s="130" t="n">
        <v>33</v>
      </c>
      <c r="K44" s="130" t="n">
        <v>5</v>
      </c>
      <c r="L44" s="130" t="inlineStr">
        <is>
          <t>.</t>
        </is>
      </c>
      <c r="M44" s="130" t="inlineStr">
        <is>
          <t>.</t>
        </is>
      </c>
      <c r="N44" s="37" t="n">
        <v>95.02</v>
      </c>
      <c r="O44" s="37" t="n">
        <v>5.35</v>
      </c>
      <c r="P44" s="37" t="n">
        <v>100.37</v>
      </c>
      <c r="Q44" s="51" t="n">
        <v>116.06</v>
      </c>
      <c r="R44" s="37" t="n">
        <v>42.63</v>
      </c>
      <c r="S44" s="132" t="n">
        <v>245700</v>
      </c>
      <c r="T44" s="359" t="n">
        <v>24570</v>
      </c>
      <c r="U44" s="370" t="n">
        <v>270270</v>
      </c>
      <c r="V44" s="226" t="n">
        <v>10000</v>
      </c>
      <c r="W44" s="323" t="n">
        <v>20000</v>
      </c>
      <c r="X44" s="134" t="n">
        <v>13513.5</v>
      </c>
      <c r="Y44" s="134" t="n">
        <v>30196.5</v>
      </c>
      <c r="Z44" s="326" t="n">
        <v>196560</v>
      </c>
      <c r="AA44" s="495">
        <f>AA43+2</f>
        <v/>
      </c>
      <c r="AB44" s="43" t="inlineStr">
        <is>
          <t>CLAUDIO BORREGO DOMÍNGUEZ</t>
        </is>
      </c>
      <c r="AC44" s="72" t="n"/>
      <c r="AD44" s="45" t="n"/>
      <c r="AE44" s="48" t="inlineStr">
        <is>
          <t>claudio.borrego@gmail.com</t>
        </is>
      </c>
      <c r="AF44" s="46" t="inlineStr">
        <is>
          <t>MARIA TERESA REAL CARRILLO</t>
        </is>
      </c>
      <c r="AG44" s="30" t="n"/>
      <c r="AH44" s="47" t="n"/>
      <c r="AI44" s="257" t="inlineStr">
        <is>
          <t>real.maite@gmail.com</t>
        </is>
      </c>
      <c r="AJ44" s="30" t="inlineStr">
        <is>
          <t>casados</t>
        </is>
      </c>
      <c r="AK44" s="88" t="inlineStr">
        <is>
          <t>C/. Castillo de Olivenza 20 de Badajoz</t>
        </is>
      </c>
      <c r="AL44" s="32" t="n"/>
      <c r="AM44" s="33" t="inlineStr">
        <is>
          <t>no</t>
        </is>
      </c>
      <c r="AN44" s="33" t="n">
        <v>63</v>
      </c>
      <c r="AO44" s="33" t="n"/>
      <c r="AP44" s="33" t="n"/>
      <c r="AQ44" s="33" t="n">
        <v>61</v>
      </c>
      <c r="AR44" s="33" t="n"/>
      <c r="AS44" s="33" t="n"/>
      <c r="AT44" s="136" t="n">
        <v>0</v>
      </c>
      <c r="AU44" s="33" t="inlineStr">
        <is>
          <t>si</t>
        </is>
      </c>
      <c r="AV44" s="33" t="inlineStr">
        <is>
          <t>Reposción</t>
        </is>
      </c>
      <c r="AW44" s="33" t="inlineStr">
        <is>
          <t>Menor tamaño</t>
        </is>
      </c>
      <c r="AX44" s="33" t="inlineStr">
        <is>
          <t>U. Guadiana</t>
        </is>
      </c>
      <c r="BB44">
        <f>IF(A44="RESERVADO",S44,"LIBRE")</f>
        <v/>
      </c>
      <c r="BC44" s="218" t="inlineStr">
        <is>
          <t>ES36 0182 5877 1202 0159 8666</t>
        </is>
      </c>
    </row>
    <row r="45" ht="14.25" customHeight="1">
      <c r="A45" s="418" t="inlineStr">
        <is>
          <t>BLOQUEADO</t>
        </is>
      </c>
      <c r="B45" s="90" t="n"/>
      <c r="C45" s="416" t="n"/>
      <c r="E45" s="128" t="n">
        <v>34</v>
      </c>
      <c r="F45" s="129" t="n">
        <v>2</v>
      </c>
      <c r="G45" s="135" t="inlineStr">
        <is>
          <t>BAJA</t>
        </is>
      </c>
      <c r="H45" s="131" t="inlineStr">
        <is>
          <t>D</t>
        </is>
      </c>
      <c r="I45" s="131" t="n">
        <v>2</v>
      </c>
      <c r="J45" s="131" t="n">
        <v>20</v>
      </c>
      <c r="K45" s="131" t="n">
        <v>28</v>
      </c>
      <c r="L45" s="131" t="inlineStr">
        <is>
          <t>.</t>
        </is>
      </c>
      <c r="M45" s="131" t="inlineStr">
        <is>
          <t>.</t>
        </is>
      </c>
      <c r="N45" s="37" t="n">
        <v>59.02</v>
      </c>
      <c r="O45" s="37" t="n">
        <v>4.36</v>
      </c>
      <c r="P45" s="37" t="n">
        <v>63.38</v>
      </c>
      <c r="Q45" s="37" t="n">
        <v>75.23</v>
      </c>
      <c r="R45" s="37" t="n">
        <v>45.06</v>
      </c>
      <c r="S45" s="132" t="n">
        <v>183300</v>
      </c>
      <c r="T45" s="359" t="n">
        <v>18330</v>
      </c>
      <c r="U45" s="370" t="n">
        <v>201630</v>
      </c>
      <c r="V45" s="134" t="n">
        <v>0</v>
      </c>
      <c r="W45" s="134" t="n">
        <v>0</v>
      </c>
      <c r="X45" s="134" t="n">
        <v>0</v>
      </c>
      <c r="Y45" s="134" t="n">
        <v>54990</v>
      </c>
      <c r="Z45" s="326" t="n">
        <v>146640</v>
      </c>
      <c r="AA45" s="495">
        <f>AA44+2</f>
        <v/>
      </c>
      <c r="AB45" s="43" t="n"/>
      <c r="AC45" s="44" t="n"/>
      <c r="AD45" s="45" t="n"/>
      <c r="AE45" s="30" t="n"/>
      <c r="AF45" s="46" t="n"/>
      <c r="AG45" s="46" t="n"/>
      <c r="AH45" s="47" t="n"/>
      <c r="AI45" s="87" t="n"/>
      <c r="AJ45" s="30" t="n"/>
      <c r="AK45" s="88" t="n"/>
      <c r="AL45" s="89" t="n"/>
      <c r="AM45" s="90" t="n"/>
      <c r="AN45" s="90" t="n"/>
      <c r="AO45" s="90" t="n"/>
      <c r="AP45" s="90" t="n"/>
      <c r="AQ45" s="90" t="n"/>
      <c r="AR45" s="90" t="n"/>
      <c r="AS45" s="90" t="n"/>
      <c r="AT45" s="90" t="n"/>
      <c r="AU45" s="90" t="n"/>
      <c r="AV45" s="90" t="n"/>
      <c r="AW45" s="90" t="n"/>
      <c r="AX45" s="90" t="n"/>
      <c r="BB45">
        <f>IF(A45="RESERVADO",S45,"LIBRE")</f>
        <v/>
      </c>
      <c r="BC45" s="218" t="n"/>
    </row>
    <row r="46" ht="14.25" customHeight="1" thickBot="1">
      <c r="A46" s="31" t="inlineStr">
        <is>
          <t>RESERVADO</t>
        </is>
      </c>
      <c r="B46" s="417" t="n">
        <v>45278</v>
      </c>
      <c r="C46" s="417" t="n">
        <v>45390</v>
      </c>
      <c r="E46" s="137" t="n">
        <v>35</v>
      </c>
      <c r="F46" s="138" t="n">
        <v>2</v>
      </c>
      <c r="G46" s="139" t="inlineStr">
        <is>
          <t>BAJA</t>
        </is>
      </c>
      <c r="H46" s="140" t="inlineStr">
        <is>
          <t>E</t>
        </is>
      </c>
      <c r="I46" s="140" t="n">
        <v>3</v>
      </c>
      <c r="J46" s="260" t="n">
        <v>6</v>
      </c>
      <c r="K46" s="131" t="n">
        <v>10</v>
      </c>
      <c r="L46" s="140" t="inlineStr">
        <is>
          <t>.</t>
        </is>
      </c>
      <c r="M46" s="140" t="inlineStr">
        <is>
          <t>.</t>
        </is>
      </c>
      <c r="N46" s="141" t="n">
        <v>93.23999999999999</v>
      </c>
      <c r="O46" s="141" t="n">
        <v>5.35</v>
      </c>
      <c r="P46" s="141" t="n">
        <v>98.58999999999999</v>
      </c>
      <c r="Q46" s="141" t="n">
        <v>113.72</v>
      </c>
      <c r="R46" s="141" t="n">
        <v>43.11</v>
      </c>
      <c r="S46" s="142" t="n">
        <v>264700</v>
      </c>
      <c r="T46" s="360" t="n">
        <v>26470</v>
      </c>
      <c r="U46" s="371" t="n">
        <v>291170</v>
      </c>
      <c r="V46" s="227" t="n">
        <v>8570.1</v>
      </c>
      <c r="W46" s="322" t="n">
        <v>29117</v>
      </c>
      <c r="X46" s="144" t="n">
        <v>8735</v>
      </c>
      <c r="Y46" s="134" t="n">
        <v>32987.90000000002</v>
      </c>
      <c r="Z46" s="339" t="n">
        <v>211760</v>
      </c>
      <c r="AA46" s="495">
        <f>AA45+2</f>
        <v/>
      </c>
      <c r="AB46" s="43" t="inlineStr">
        <is>
          <t>ANTONIO MURIEL VADILLO</t>
        </is>
      </c>
      <c r="AC46" s="44" t="n"/>
      <c r="AD46" s="45" t="n"/>
      <c r="AE46" s="408" t="inlineStr">
        <is>
          <t>sirenitomuriel@gmail.com</t>
        </is>
      </c>
      <c r="AF46" s="46" t="n"/>
      <c r="AG46" s="46" t="n"/>
      <c r="AH46" s="47" t="n"/>
      <c r="AI46" s="87" t="n"/>
      <c r="AJ46" s="30" t="inlineStr">
        <is>
          <t>soltero</t>
        </is>
      </c>
      <c r="AK46" s="88" t="inlineStr">
        <is>
          <t>C/. Cristobal Colon 5, 2ºC, Plasencia (Cáceres)</t>
        </is>
      </c>
      <c r="AL46" s="89" t="n"/>
      <c r="AM46" s="90" t="inlineStr">
        <is>
          <t>no</t>
        </is>
      </c>
      <c r="AN46" s="90" t="n">
        <v>37</v>
      </c>
      <c r="AO46" s="90" t="inlineStr">
        <is>
          <t>Guardia Civil</t>
        </is>
      </c>
      <c r="AP46" s="90" t="n"/>
      <c r="AQ46" s="90" t="n"/>
      <c r="AR46" s="33" t="n"/>
      <c r="AS46" s="33" t="n"/>
      <c r="AT46" s="49" t="n"/>
      <c r="AU46" s="33" t="n"/>
      <c r="AV46" s="33" t="n"/>
      <c r="AW46" s="33" t="n"/>
      <c r="AX46" s="33" t="n"/>
      <c r="BB46">
        <f>IF(A46="RESERVADO",S46,"LIBRE")</f>
        <v/>
      </c>
      <c r="BC46" s="218" t="inlineStr">
        <is>
          <t>ES04 0182 1597 6802 0157 8959</t>
        </is>
      </c>
    </row>
    <row r="47" ht="14.25" customHeight="1">
      <c r="A47" s="31" t="inlineStr">
        <is>
          <t>RESERVADO</t>
        </is>
      </c>
      <c r="B47" s="421" t="n">
        <v>45191</v>
      </c>
      <c r="C47" s="416" t="n">
        <v>45407</v>
      </c>
      <c r="D47" s="353" t="n"/>
      <c r="E47" s="145" t="n">
        <v>36</v>
      </c>
      <c r="F47" s="122" t="n">
        <v>2</v>
      </c>
      <c r="G47" s="123" t="n">
        <v>1</v>
      </c>
      <c r="H47" s="123" t="inlineStr">
        <is>
          <t>A</t>
        </is>
      </c>
      <c r="I47" s="123" t="n">
        <v>5</v>
      </c>
      <c r="J47" s="123" t="n">
        <v>61</v>
      </c>
      <c r="K47" s="123" t="n">
        <v>55</v>
      </c>
      <c r="L47" s="123" t="n">
        <v>39</v>
      </c>
      <c r="M47" s="123" t="inlineStr">
        <is>
          <t>.</t>
        </is>
      </c>
      <c r="N47" s="124" t="n">
        <v>136.44</v>
      </c>
      <c r="O47" s="124" t="n">
        <v>10.06</v>
      </c>
      <c r="P47" s="124" t="n">
        <v>146.5</v>
      </c>
      <c r="Q47" s="124" t="n">
        <v>168.3</v>
      </c>
      <c r="R47" s="146" t="n"/>
      <c r="S47" s="125" t="n">
        <v>376000</v>
      </c>
      <c r="T47" s="358" t="n">
        <v>37600</v>
      </c>
      <c r="U47" s="369" t="n">
        <v>413600</v>
      </c>
      <c r="V47" s="228" t="n">
        <v>12814</v>
      </c>
      <c r="W47" s="324" t="n">
        <v>41360</v>
      </c>
      <c r="X47" s="127" t="n">
        <v>20680</v>
      </c>
      <c r="Y47" s="127" t="n">
        <v>37946</v>
      </c>
      <c r="Z47" s="338" t="n">
        <v>300800</v>
      </c>
      <c r="AA47" s="495">
        <f>AA46+2</f>
        <v/>
      </c>
      <c r="AB47" s="43" t="inlineStr">
        <is>
          <t>CARMEN VICTORIA ROJAS MORENO</t>
        </is>
      </c>
      <c r="AC47" s="44" t="n"/>
      <c r="AD47" s="45" t="n"/>
      <c r="AE47" s="30" t="inlineStr">
        <is>
          <t>cvrojas@unex.es</t>
        </is>
      </c>
      <c r="AF47" s="46" t="inlineStr">
        <is>
          <t>ANTONIO GRANERO VAZQUEZ</t>
        </is>
      </c>
      <c r="AG47" s="46" t="n"/>
      <c r="AH47" s="47" t="n"/>
      <c r="AI47" s="87" t="inlineStr">
        <is>
          <t>antoniogranerovazquez@outlook.com</t>
        </is>
      </c>
      <c r="AJ47" s="30" t="inlineStr">
        <is>
          <t>casada en separación de bienes, compra privativa</t>
        </is>
      </c>
      <c r="AK47" s="88" t="inlineStr">
        <is>
          <t>C/. Los Mesones 14 de Calzadilla de los Barros (Badajoz)</t>
        </is>
      </c>
      <c r="AL47" s="32" t="n"/>
      <c r="AM47" s="33" t="inlineStr">
        <is>
          <t>si</t>
        </is>
      </c>
      <c r="AN47" s="33" t="n">
        <v>45</v>
      </c>
      <c r="AO47" s="33" t="inlineStr">
        <is>
          <t>Empresario</t>
        </is>
      </c>
      <c r="AP47" s="33" t="n"/>
      <c r="AQ47" s="33" t="n">
        <v>49</v>
      </c>
      <c r="AR47" s="33" t="inlineStr">
        <is>
          <t>Prof. Universidad</t>
        </is>
      </c>
      <c r="AS47" s="33" t="n"/>
      <c r="AT47" s="33" t="inlineStr">
        <is>
          <t>?</t>
        </is>
      </c>
      <c r="AU47" s="33" t="inlineStr">
        <is>
          <t>Si</t>
        </is>
      </c>
      <c r="AV47" s="33" t="inlineStr">
        <is>
          <t>Reposicioó</t>
        </is>
      </c>
      <c r="AW47" s="33" t="n"/>
      <c r="AX47" s="33" t="inlineStr">
        <is>
          <t>Rando Norte</t>
        </is>
      </c>
      <c r="BB47">
        <f>IF(A47="RESERVADO",S47,"LIBRE")</f>
        <v/>
      </c>
      <c r="BC47" s="218" t="inlineStr">
        <is>
          <t>ES25 3009 0050 4115 7641 7016</t>
        </is>
      </c>
    </row>
    <row r="48" ht="14.25" customHeight="1">
      <c r="A48" s="31" t="inlineStr">
        <is>
          <t>RESERVADO</t>
        </is>
      </c>
      <c r="B48" s="417" t="n">
        <v>44811</v>
      </c>
      <c r="C48" s="417" t="n">
        <v>45401</v>
      </c>
      <c r="D48" s="353" t="n"/>
      <c r="E48" s="147" t="n">
        <v>37</v>
      </c>
      <c r="F48" s="148" t="n">
        <v>2</v>
      </c>
      <c r="G48" s="131" t="n">
        <v>1</v>
      </c>
      <c r="H48" s="131" t="inlineStr">
        <is>
          <t>B</t>
        </is>
      </c>
      <c r="I48" s="131" t="n">
        <v>4</v>
      </c>
      <c r="J48" s="131" t="n">
        <v>34</v>
      </c>
      <c r="K48" s="131" t="n">
        <v>17</v>
      </c>
      <c r="L48" s="131" t="inlineStr">
        <is>
          <t>.</t>
        </is>
      </c>
      <c r="M48" s="131" t="inlineStr">
        <is>
          <t>.</t>
        </is>
      </c>
      <c r="N48" s="101" t="n">
        <v>115.06</v>
      </c>
      <c r="O48" s="101" t="n">
        <v>10.26</v>
      </c>
      <c r="P48" s="101" t="n">
        <v>125.32</v>
      </c>
      <c r="Q48" s="101" t="n">
        <v>144.08</v>
      </c>
      <c r="R48" s="149" t="n"/>
      <c r="S48" s="150" t="n">
        <v>284900</v>
      </c>
      <c r="T48" s="359" t="n">
        <v>28490</v>
      </c>
      <c r="U48" s="370" t="n">
        <v>313390</v>
      </c>
      <c r="V48" s="226" t="n">
        <v>15669.5</v>
      </c>
      <c r="W48" s="323" t="n">
        <v>31339</v>
      </c>
      <c r="X48" s="134" t="n">
        <v>15669.5</v>
      </c>
      <c r="Y48" s="134" t="n">
        <v>22792</v>
      </c>
      <c r="Z48" s="326" t="n">
        <v>227920</v>
      </c>
      <c r="AA48" s="495">
        <f>AA47+2</f>
        <v/>
      </c>
      <c r="AB48" s="43" t="inlineStr">
        <is>
          <t>JOSE MANUEL ROSON JIMENEZ</t>
        </is>
      </c>
      <c r="AC48" s="44" t="n"/>
      <c r="AD48" s="45" t="n"/>
      <c r="AE48" s="48" t="inlineStr">
        <is>
          <t>jmrosonjimenez@gmail.com</t>
        </is>
      </c>
      <c r="AF48" s="46" t="inlineStr">
        <is>
          <t>MARIA DOLORES RECIO PEREZ</t>
        </is>
      </c>
      <c r="AG48" s="46" t="n"/>
      <c r="AH48" s="47" t="n"/>
      <c r="AI48" s="257" t="inlineStr">
        <is>
          <t>lolirepe@hotmail.com</t>
        </is>
      </c>
      <c r="AJ48" s="30" t="inlineStr">
        <is>
          <t>Casados</t>
        </is>
      </c>
      <c r="AK48" s="88" t="inlineStr">
        <is>
          <t>C/. Manuel Godoy 16 -3ºD de Badajoz</t>
        </is>
      </c>
      <c r="AL48" s="89" t="n"/>
      <c r="AM48" s="90" t="inlineStr">
        <is>
          <t>hijos</t>
        </is>
      </c>
      <c r="AN48" s="90" t="n">
        <v>51</v>
      </c>
      <c r="AO48" s="33" t="inlineStr">
        <is>
          <t>Funcionario</t>
        </is>
      </c>
      <c r="AP48" s="33" t="n">
        <v>3000</v>
      </c>
      <c r="AQ48" s="33" t="n">
        <v>49</v>
      </c>
      <c r="AR48" s="33" t="inlineStr">
        <is>
          <t>Admistrativo</t>
        </is>
      </c>
      <c r="AS48" s="33" t="n">
        <v>1600</v>
      </c>
      <c r="AT48" s="73" t="n">
        <v>0.2</v>
      </c>
      <c r="AU48" s="133" t="inlineStr">
        <is>
          <t>si</t>
        </is>
      </c>
      <c r="AV48" s="33" t="inlineStr">
        <is>
          <t>Reposción</t>
        </is>
      </c>
      <c r="AW48" s="33" t="inlineStr">
        <is>
          <t>Mayor tamaño</t>
        </is>
      </c>
      <c r="AX48" s="33" t="inlineStr">
        <is>
          <t>San Fernando</t>
        </is>
      </c>
      <c r="BB48">
        <f>IF(A48="RESERVADO",S48,"LIBRE")</f>
        <v/>
      </c>
      <c r="BC48" s="218" t="inlineStr">
        <is>
          <t>ES03 2100 1982 8702 0034 1549</t>
        </is>
      </c>
    </row>
    <row r="49" ht="14.25" customHeight="1">
      <c r="A49" s="88" t="inlineStr">
        <is>
          <t>RESERVADO</t>
        </is>
      </c>
      <c r="B49" s="416" t="n">
        <v>45231</v>
      </c>
      <c r="C49" s="416" t="n">
        <v>45390</v>
      </c>
      <c r="E49" s="128" t="n">
        <v>38</v>
      </c>
      <c r="F49" s="129" t="n">
        <v>2</v>
      </c>
      <c r="G49" s="135" t="n">
        <v>1</v>
      </c>
      <c r="H49" s="130" t="inlineStr">
        <is>
          <t>C</t>
        </is>
      </c>
      <c r="I49" s="130" t="n">
        <v>3</v>
      </c>
      <c r="J49" s="130" t="n">
        <v>3</v>
      </c>
      <c r="K49" s="130" t="n">
        <v>3</v>
      </c>
      <c r="L49" s="130" t="inlineStr">
        <is>
          <t>.</t>
        </is>
      </c>
      <c r="M49" s="130" t="inlineStr">
        <is>
          <t>.</t>
        </is>
      </c>
      <c r="N49" s="37" t="n">
        <v>95.02</v>
      </c>
      <c r="O49" s="37" t="n">
        <v>5.04</v>
      </c>
      <c r="P49" s="37" t="n">
        <v>100.06</v>
      </c>
      <c r="Q49" s="51" t="n">
        <v>116.06</v>
      </c>
      <c r="R49" s="69" t="n"/>
      <c r="S49" s="132" t="n">
        <v>229500</v>
      </c>
      <c r="T49" s="359" t="n">
        <v>22950</v>
      </c>
      <c r="U49" s="370" t="n">
        <v>252450</v>
      </c>
      <c r="V49" s="250" t="n">
        <v>7573.5</v>
      </c>
      <c r="W49" s="323" t="n">
        <v>25245</v>
      </c>
      <c r="X49" s="134" t="n">
        <v>12622.5</v>
      </c>
      <c r="Y49" s="134" t="n">
        <v>23409</v>
      </c>
      <c r="Z49" s="326" t="n">
        <v>183600</v>
      </c>
      <c r="AA49" s="495">
        <f>AA48+2</f>
        <v/>
      </c>
      <c r="AB49" s="219" t="inlineStr">
        <is>
          <t>ANTONIO MANUEL PEREZ FERNANDEZ</t>
        </is>
      </c>
      <c r="AC49" s="72" t="n"/>
      <c r="AD49" s="45" t="n"/>
      <c r="AE49" s="30" t="inlineStr">
        <is>
          <t>ampf7395@gmail.com</t>
        </is>
      </c>
      <c r="AF49" s="30" t="inlineStr">
        <is>
          <t>MONICA JIMENEZ MORENO</t>
        </is>
      </c>
      <c r="AG49" s="30" t="n"/>
      <c r="AH49" s="47" t="n"/>
      <c r="AI49" s="87" t="inlineStr">
        <is>
          <t>mjmoreno753@gmail.com</t>
        </is>
      </c>
      <c r="AJ49" s="30" t="inlineStr">
        <is>
          <t>CASADOS</t>
        </is>
      </c>
      <c r="AK49" s="88" t="inlineStr">
        <is>
          <t>C/. Castillo de Villagarcia de las Torres 30, de Badajoz</t>
        </is>
      </c>
      <c r="AL49" s="32" t="n"/>
      <c r="AM49" s="33" t="n"/>
      <c r="AN49" s="33" t="n"/>
      <c r="AO49" s="33" t="n"/>
      <c r="AP49" s="33" t="n"/>
      <c r="AQ49" s="33" t="n"/>
      <c r="AR49" s="33" t="n"/>
      <c r="AS49" s="33" t="n"/>
      <c r="AT49" s="33" t="n"/>
      <c r="AU49" s="33" t="n"/>
      <c r="AV49" s="33" t="inlineStr">
        <is>
          <t>Para hijos</t>
        </is>
      </c>
      <c r="AW49" s="33" t="n"/>
      <c r="AX49" s="33" t="inlineStr">
        <is>
          <t>Urb.Guadiana</t>
        </is>
      </c>
      <c r="BB49">
        <f>IF(A49="RESERVADO",S49,"LIBRE")</f>
        <v/>
      </c>
      <c r="BC49" s="218" t="inlineStr">
        <is>
          <t>ES98 2100 7515 7613 0043 9391</t>
        </is>
      </c>
    </row>
    <row r="50" ht="14.25" customHeight="1">
      <c r="A50" s="31" t="inlineStr">
        <is>
          <t>RESERVADO</t>
        </is>
      </c>
      <c r="B50" s="417" t="n">
        <v>44874</v>
      </c>
      <c r="C50" s="417" t="n">
        <v>45371</v>
      </c>
      <c r="E50" s="128" t="n">
        <v>39</v>
      </c>
      <c r="F50" s="129" t="n">
        <v>2</v>
      </c>
      <c r="G50" s="130" t="n">
        <v>1</v>
      </c>
      <c r="H50" s="130" t="inlineStr">
        <is>
          <t>D</t>
        </is>
      </c>
      <c r="I50" s="130" t="n">
        <v>2</v>
      </c>
      <c r="J50" s="130" t="n">
        <v>36</v>
      </c>
      <c r="K50" s="130" t="n">
        <v>39</v>
      </c>
      <c r="L50" s="130" t="inlineStr">
        <is>
          <t>.</t>
        </is>
      </c>
      <c r="M50" s="130" t="inlineStr">
        <is>
          <t>.</t>
        </is>
      </c>
      <c r="N50" s="37" t="n">
        <v>59.02</v>
      </c>
      <c r="O50" s="37" t="n">
        <v>4.1</v>
      </c>
      <c r="P50" s="37" t="n">
        <v>63.12</v>
      </c>
      <c r="Q50" s="51" t="n">
        <v>75.23</v>
      </c>
      <c r="R50" s="69" t="n"/>
      <c r="S50" s="132" t="n">
        <v>159000</v>
      </c>
      <c r="T50" s="359" t="n">
        <v>15900</v>
      </c>
      <c r="U50" s="370" t="n">
        <v>174900</v>
      </c>
      <c r="V50" s="226" t="n">
        <v>8745</v>
      </c>
      <c r="W50" s="323" t="n">
        <v>17490</v>
      </c>
      <c r="X50" s="134" t="n">
        <v>8745</v>
      </c>
      <c r="Y50" s="134" t="n">
        <v>12720</v>
      </c>
      <c r="Z50" s="326" t="n">
        <v>127200</v>
      </c>
      <c r="AA50" s="495">
        <f>AA49+2</f>
        <v/>
      </c>
      <c r="AB50" s="43" t="inlineStr">
        <is>
          <t>FERNANDO LIMA LINEROS</t>
        </is>
      </c>
      <c r="AC50" s="44" t="n"/>
      <c r="AD50" s="45" t="n"/>
      <c r="AE50" s="48" t="inlineStr">
        <is>
          <t>fernando.lima@siderbalboa.es</t>
        </is>
      </c>
      <c r="AF50" s="30" t="inlineStr">
        <is>
          <t>----------------</t>
        </is>
      </c>
      <c r="AG50" s="30" t="n"/>
      <c r="AH50" s="47" t="n"/>
      <c r="AI50" s="87" t="n"/>
      <c r="AJ50" s="30" t="inlineStr">
        <is>
          <t>soltero</t>
        </is>
      </c>
      <c r="AK50" s="88" t="inlineStr">
        <is>
          <t>C/. Republica Argentina 7 - Jerez de los Caballeros (Badajoz)</t>
        </is>
      </c>
      <c r="AL50" s="32" t="n"/>
      <c r="AM50" s="33" t="inlineStr">
        <is>
          <t>no</t>
        </is>
      </c>
      <c r="AN50" s="33" t="n">
        <v>53</v>
      </c>
      <c r="AO50" s="33" t="inlineStr">
        <is>
          <t>Ingeniero</t>
        </is>
      </c>
      <c r="AP50" s="33" t="n">
        <v>3800</v>
      </c>
      <c r="AQ50" s="33" t="n"/>
      <c r="AR50" s="33" t="n"/>
      <c r="AS50" s="33" t="n"/>
      <c r="AT50" s="33" t="n"/>
      <c r="AU50" s="33" t="n"/>
      <c r="AV50" s="33" t="inlineStr">
        <is>
          <t>Inversión</t>
        </is>
      </c>
      <c r="AW50" s="33" t="n"/>
      <c r="AX50" s="33" t="inlineStr">
        <is>
          <t>otra población</t>
        </is>
      </c>
      <c r="BB50">
        <f>IF(A50="RESERVADO",S50,"LIBRE")</f>
        <v/>
      </c>
      <c r="BC50" s="218" t="inlineStr">
        <is>
          <t>ES43 0182 3220 6402 0150 3026</t>
        </is>
      </c>
    </row>
    <row r="51" ht="14.25" customHeight="1" thickBot="1">
      <c r="A51" s="422" t="inlineStr">
        <is>
          <t>RESERVADO</t>
        </is>
      </c>
      <c r="B51" s="425" t="n"/>
      <c r="C51" s="424" t="n">
        <v>45509</v>
      </c>
      <c r="E51" s="137" t="n">
        <v>40</v>
      </c>
      <c r="F51" s="138" t="n">
        <v>2</v>
      </c>
      <c r="G51" s="151" t="n">
        <v>1</v>
      </c>
      <c r="H51" s="140" t="inlineStr">
        <is>
          <t>E</t>
        </is>
      </c>
      <c r="I51" s="140" t="n">
        <v>3</v>
      </c>
      <c r="J51" s="140" t="n">
        <v>4</v>
      </c>
      <c r="K51" s="140" t="n">
        <v>4</v>
      </c>
      <c r="L51" s="140" t="inlineStr">
        <is>
          <t>.</t>
        </is>
      </c>
      <c r="M51" s="140" t="inlineStr">
        <is>
          <t>.</t>
        </is>
      </c>
      <c r="N51" s="141" t="n">
        <v>93.23999999999999</v>
      </c>
      <c r="O51" s="141" t="n">
        <v>5.04</v>
      </c>
      <c r="P51" s="141" t="n">
        <v>98.28</v>
      </c>
      <c r="Q51" s="55" t="n">
        <v>113.72</v>
      </c>
      <c r="R51" s="84" t="n"/>
      <c r="S51" s="142" t="n">
        <v>230900</v>
      </c>
      <c r="T51" s="360" t="n">
        <v>23090</v>
      </c>
      <c r="U51" s="371" t="n">
        <v>253990</v>
      </c>
      <c r="V51" s="262" t="n">
        <v>0</v>
      </c>
      <c r="W51" s="415" t="n">
        <v>27938.9</v>
      </c>
      <c r="X51" s="144" t="n">
        <v>10159.68</v>
      </c>
      <c r="Y51" s="144" t="n">
        <v>31171.42000000001</v>
      </c>
      <c r="Z51" s="339" t="n">
        <v>184720</v>
      </c>
      <c r="AA51" s="495">
        <f>AA50+2</f>
        <v/>
      </c>
      <c r="AB51" s="414" t="inlineStr">
        <is>
          <t>CRISTINA CANCHALES RODRIGUEZ</t>
        </is>
      </c>
      <c r="AC51" s="72" t="n"/>
      <c r="AD51" s="45" t="n"/>
      <c r="AE51" s="408" t="inlineStr">
        <is>
          <t>barnizadosbadajoz@barnizadosbadajoz.es</t>
        </is>
      </c>
      <c r="AF51" s="30" t="n"/>
      <c r="AG51" s="30" t="n"/>
      <c r="AH51" s="47" t="n"/>
      <c r="AI51" s="87" t="n"/>
      <c r="AJ51" s="30" t="n"/>
      <c r="AK51" s="88" t="inlineStr">
        <is>
          <t>C/. Hermanos Alvarez Sorube 7  de Badajoz</t>
        </is>
      </c>
      <c r="AL51" s="32" t="n"/>
      <c r="AM51" s="33" t="n"/>
      <c r="AN51" s="33" t="n"/>
      <c r="AO51" s="33" t="n"/>
      <c r="AP51" s="33" t="n"/>
      <c r="AQ51" s="33" t="n"/>
      <c r="AR51" s="33" t="n"/>
      <c r="AS51" s="33" t="n"/>
      <c r="AT51" s="33" t="n"/>
      <c r="AU51" s="33" t="n"/>
      <c r="AV51" s="33" t="n"/>
      <c r="AW51" s="33" t="n"/>
      <c r="AX51" s="33" t="n"/>
      <c r="BB51">
        <f>IF(A51="RESERVADO",S51,"LIBRE")</f>
        <v/>
      </c>
      <c r="BC51" s="218" t="inlineStr">
        <is>
          <t>ES09 2100 1845 9601 0013 6568</t>
        </is>
      </c>
    </row>
    <row r="52" ht="14.25" customHeight="1">
      <c r="A52" s="31" t="inlineStr">
        <is>
          <t>RESERVADO</t>
        </is>
      </c>
      <c r="B52" s="417" t="n">
        <v>44700</v>
      </c>
      <c r="C52" s="417" t="n">
        <v>45371</v>
      </c>
      <c r="E52" s="147" t="n">
        <v>41</v>
      </c>
      <c r="F52" s="148" t="n">
        <v>2</v>
      </c>
      <c r="G52" s="131" t="n">
        <v>2</v>
      </c>
      <c r="H52" s="131" t="inlineStr">
        <is>
          <t>A</t>
        </is>
      </c>
      <c r="I52" s="131" t="n">
        <v>5</v>
      </c>
      <c r="J52" s="152" t="n">
        <v>64</v>
      </c>
      <c r="K52" s="152" t="n">
        <v>58</v>
      </c>
      <c r="L52" s="153" t="n">
        <v>35</v>
      </c>
      <c r="M52" s="154" t="inlineStr">
        <is>
          <t>.</t>
        </is>
      </c>
      <c r="N52" s="155" t="n">
        <v>136.46</v>
      </c>
      <c r="O52" s="101" t="n">
        <v>10.71</v>
      </c>
      <c r="P52" s="101" t="n">
        <v>147.17</v>
      </c>
      <c r="Q52" s="101" t="n">
        <v>168.98</v>
      </c>
      <c r="R52" s="149" t="n"/>
      <c r="S52" s="150" t="n">
        <v>366000</v>
      </c>
      <c r="T52" s="358" t="n">
        <v>36600</v>
      </c>
      <c r="U52" s="369" t="n">
        <v>402600</v>
      </c>
      <c r="V52" s="231" t="n">
        <v>20130</v>
      </c>
      <c r="W52" s="324" t="n">
        <v>40260</v>
      </c>
      <c r="X52" s="127" t="n">
        <v>20130</v>
      </c>
      <c r="Y52" s="127" t="n">
        <v>29280</v>
      </c>
      <c r="Z52" s="338" t="n">
        <v>292800</v>
      </c>
      <c r="AA52" s="495">
        <f>AA51+2</f>
        <v/>
      </c>
      <c r="AB52" s="43" t="inlineStr">
        <is>
          <t>ALVARO MARTIN DEL POZO</t>
        </is>
      </c>
      <c r="AC52" s="44" t="n"/>
      <c r="AD52" s="45" t="n"/>
      <c r="AE52" s="30" t="inlineStr">
        <is>
          <t>alvaro_88_4@hotmail.com</t>
        </is>
      </c>
      <c r="AF52" s="94" t="inlineStr">
        <is>
          <t>ISABEL LOPEZ MACIAS</t>
        </is>
      </c>
      <c r="AG52" s="94" t="n"/>
      <c r="AH52" s="47" t="n"/>
      <c r="AI52" s="257" t="inlineStr">
        <is>
          <t>isabel_lm7@hotmail.com</t>
        </is>
      </c>
      <c r="AJ52" s="48" t="inlineStr">
        <is>
          <t>casados</t>
        </is>
      </c>
      <c r="AK52" s="88" t="inlineStr">
        <is>
          <t>C/. Matilde Tagle =rtiz 24, 6ºB de Badajoz</t>
        </is>
      </c>
      <c r="AL52" s="32" t="n"/>
      <c r="AM52" s="33" t="inlineStr">
        <is>
          <t>hijos</t>
        </is>
      </c>
      <c r="AN52" s="33" t="n">
        <v>34</v>
      </c>
      <c r="AO52" s="33" t="inlineStr">
        <is>
          <t>Médico</t>
        </is>
      </c>
      <c r="AP52" s="33" t="n">
        <v>4000</v>
      </c>
      <c r="AQ52" s="33" t="n">
        <v>34</v>
      </c>
      <c r="AR52" s="33" t="inlineStr">
        <is>
          <t>Medico</t>
        </is>
      </c>
      <c r="AS52" s="33" t="n">
        <v>4000</v>
      </c>
      <c r="AT52" s="49" t="n">
        <v>0.6</v>
      </c>
      <c r="AU52" s="33" t="inlineStr">
        <is>
          <t>no</t>
        </is>
      </c>
      <c r="AV52" s="33" t="inlineStr">
        <is>
          <t>reposicion</t>
        </is>
      </c>
      <c r="AW52" s="33" t="inlineStr">
        <is>
          <t>más grande</t>
        </is>
      </c>
      <c r="AX52" s="33" t="inlineStr">
        <is>
          <t>Jardines</t>
        </is>
      </c>
      <c r="BB52">
        <f>IF(A52="RESERVADO",S52,"LIBRE")</f>
        <v/>
      </c>
      <c r="BC52" s="218" t="inlineStr">
        <is>
          <t>ES88 0049 5953 2920 9509 2365</t>
        </is>
      </c>
    </row>
    <row r="53" ht="14.25" customHeight="1">
      <c r="A53" s="31" t="inlineStr">
        <is>
          <t>RESERVADO</t>
        </is>
      </c>
      <c r="B53" s="417" t="n">
        <v>44874</v>
      </c>
      <c r="C53" s="417" t="n">
        <v>45407</v>
      </c>
      <c r="D53" s="353" t="n"/>
      <c r="E53" s="147" t="n">
        <v>42</v>
      </c>
      <c r="F53" s="148" t="n">
        <v>2</v>
      </c>
      <c r="G53" s="156" t="n">
        <v>2</v>
      </c>
      <c r="H53" s="157" t="inlineStr">
        <is>
          <t>B</t>
        </is>
      </c>
      <c r="I53" s="156" t="n">
        <v>4</v>
      </c>
      <c r="J53" s="158" t="n">
        <v>17</v>
      </c>
      <c r="K53" s="125" t="n">
        <v>24</v>
      </c>
      <c r="L53" s="156" t="inlineStr">
        <is>
          <t>.</t>
        </is>
      </c>
      <c r="M53" s="150" t="inlineStr">
        <is>
          <t>.</t>
        </is>
      </c>
      <c r="N53" s="155" t="n">
        <v>115.06</v>
      </c>
      <c r="O53" s="101" t="n">
        <v>10.92</v>
      </c>
      <c r="P53" s="37" t="n">
        <v>125.98</v>
      </c>
      <c r="Q53" s="101" t="n">
        <v>144.85</v>
      </c>
      <c r="R53" s="149" t="n"/>
      <c r="S53" s="150" t="n">
        <v>286000</v>
      </c>
      <c r="T53" s="359" t="n">
        <v>28600</v>
      </c>
      <c r="U53" s="370" t="n">
        <v>314600</v>
      </c>
      <c r="V53" s="226" t="n">
        <v>15730</v>
      </c>
      <c r="W53" s="351" t="n">
        <v>31460</v>
      </c>
      <c r="X53" s="134" t="n">
        <v>15730</v>
      </c>
      <c r="Y53" s="134" t="n">
        <v>22880</v>
      </c>
      <c r="Z53" s="326" t="n">
        <v>228800</v>
      </c>
      <c r="AA53" s="495">
        <f>AA52+2</f>
        <v/>
      </c>
      <c r="AB53" s="43" t="inlineStr">
        <is>
          <t>ANGEL ANDERICA AREVALO</t>
        </is>
      </c>
      <c r="AC53" s="44" t="n"/>
      <c r="AD53" s="45" t="n"/>
      <c r="AE53" s="30" t="inlineStr">
        <is>
          <t>angel_anderica@yahoo.es</t>
        </is>
      </c>
      <c r="AF53" s="94" t="inlineStr">
        <is>
          <t>PALOMA ESQUETIN LAVADO</t>
        </is>
      </c>
      <c r="AG53" s="94" t="n"/>
      <c r="AH53" s="47" t="n"/>
      <c r="AI53" s="257" t="inlineStr">
        <is>
          <t>palomaesq@yahoo.es</t>
        </is>
      </c>
      <c r="AJ53" s="48" t="inlineStr">
        <is>
          <t>solteros</t>
        </is>
      </c>
      <c r="AK53" s="88" t="inlineStr">
        <is>
          <t>C/. Castillo de Hornachos 19  de Badajoz</t>
        </is>
      </c>
      <c r="AL53" s="32" t="n"/>
      <c r="AM53" s="33" t="inlineStr">
        <is>
          <t>hijos</t>
        </is>
      </c>
      <c r="AN53" s="33" t="n">
        <v>47</v>
      </c>
      <c r="AO53" s="33" t="inlineStr">
        <is>
          <t>Consultor</t>
        </is>
      </c>
      <c r="AP53" s="33" t="n">
        <v>1400</v>
      </c>
      <c r="AQ53" s="33" t="n">
        <v>45</v>
      </c>
      <c r="AR53" s="33" t="inlineStr">
        <is>
          <t>Profesora</t>
        </is>
      </c>
      <c r="AS53" s="33" t="n">
        <v>1300</v>
      </c>
      <c r="AT53" s="49" t="n">
        <v>0.25</v>
      </c>
      <c r="AU53" s="33" t="inlineStr">
        <is>
          <t>no</t>
        </is>
      </c>
      <c r="AV53" s="33" t="inlineStr">
        <is>
          <t>1ª vivienda</t>
        </is>
      </c>
      <c r="AW53" s="33" t="inlineStr">
        <is>
          <t>consolidacion pareja</t>
        </is>
      </c>
      <c r="AX53" s="33" t="inlineStr">
        <is>
          <t>U. Guadiana</t>
        </is>
      </c>
      <c r="BB53">
        <f>IF(A53="RESERVADO",S53,"LIBRE")</f>
        <v/>
      </c>
      <c r="BC53" s="218" t="inlineStr">
        <is>
          <t>ES5402390806740034277723</t>
        </is>
      </c>
    </row>
    <row r="54" ht="14.25" customHeight="1">
      <c r="A54" s="31" t="inlineStr">
        <is>
          <t>RESERVADO</t>
        </is>
      </c>
      <c r="B54" s="420" t="n"/>
      <c r="C54" s="489" t="n">
        <v>45464</v>
      </c>
      <c r="E54" s="159" t="n">
        <v>43</v>
      </c>
      <c r="F54" s="160" t="n">
        <v>2</v>
      </c>
      <c r="G54" s="161" t="n">
        <v>2</v>
      </c>
      <c r="H54" s="162" t="inlineStr">
        <is>
          <t>C</t>
        </is>
      </c>
      <c r="I54" s="162" t="n">
        <v>3</v>
      </c>
      <c r="J54" s="162" t="n">
        <v>7</v>
      </c>
      <c r="K54" s="163" t="n">
        <v>11</v>
      </c>
      <c r="L54" s="130" t="inlineStr">
        <is>
          <t>.</t>
        </is>
      </c>
      <c r="M54" s="130" t="inlineStr">
        <is>
          <t>.</t>
        </is>
      </c>
      <c r="N54" s="164" t="n">
        <v>95.29000000000001</v>
      </c>
      <c r="O54" s="37" t="n">
        <v>5.04</v>
      </c>
      <c r="P54" s="37" t="n">
        <v>100.33</v>
      </c>
      <c r="Q54" s="51" t="n">
        <v>116.06</v>
      </c>
      <c r="R54" s="165" t="n"/>
      <c r="S54" s="150" t="n">
        <v>232500</v>
      </c>
      <c r="T54" s="359" t="n">
        <v>23250</v>
      </c>
      <c r="U54" s="370" t="n">
        <v>255750</v>
      </c>
      <c r="V54" s="250" t="n">
        <v>0</v>
      </c>
      <c r="W54" s="351" t="n">
        <v>28132.5</v>
      </c>
      <c r="X54" s="134" t="n">
        <v>12148.03</v>
      </c>
      <c r="Y54" s="134" t="n">
        <v>29469.47</v>
      </c>
      <c r="Z54" s="326" t="n">
        <v>186000</v>
      </c>
      <c r="AA54" s="495">
        <f>AA53+2</f>
        <v/>
      </c>
      <c r="AB54" s="219" t="inlineStr">
        <is>
          <t>MARIA JOSE MERINO PIEDEHIERRO</t>
        </is>
      </c>
      <c r="AC54" s="72" t="n"/>
      <c r="AD54" s="45" t="n"/>
      <c r="AE54" s="30" t="inlineStr">
        <is>
          <t>mariajosemerino1975@gmail.com</t>
        </is>
      </c>
      <c r="AF54" s="30" t="n"/>
      <c r="AG54" s="30" t="n"/>
      <c r="AH54" s="47" t="n"/>
      <c r="AI54" s="87" t="n"/>
      <c r="AJ54" s="30" t="inlineStr">
        <is>
          <t>divorciada</t>
        </is>
      </c>
      <c r="AK54" s="88" t="inlineStr">
        <is>
          <t>C/. Caya 25, Montijo (Badajoz)</t>
        </is>
      </c>
      <c r="AL54" s="32" t="n"/>
      <c r="AM54" s="33" t="n"/>
      <c r="AN54" s="33" t="n"/>
      <c r="AO54" s="33" t="n"/>
      <c r="AP54" s="33" t="n"/>
      <c r="AQ54" s="33" t="n"/>
      <c r="AR54" s="33" t="n"/>
      <c r="AS54" s="33" t="n"/>
      <c r="AT54" s="33" t="n"/>
      <c r="AU54" s="33" t="n"/>
      <c r="AV54" s="33" t="n"/>
      <c r="AW54" s="33" t="n"/>
      <c r="AX54" s="33" t="n"/>
      <c r="BB54">
        <f>IF(A54="RESERVADO",S54,"LIBRE")</f>
        <v/>
      </c>
      <c r="BC54" s="218" t="inlineStr">
        <is>
          <t>ES81 2080 3597 8730 0005 5734</t>
        </is>
      </c>
    </row>
    <row r="55" ht="14.25" customHeight="1">
      <c r="A55" s="31" t="inlineStr">
        <is>
          <t>RESERVADO</t>
        </is>
      </c>
      <c r="B55" s="417" t="n">
        <v>44642</v>
      </c>
      <c r="C55" s="417" t="n">
        <v>45426</v>
      </c>
      <c r="E55" s="128" t="n">
        <v>44</v>
      </c>
      <c r="F55" s="129" t="n">
        <v>2</v>
      </c>
      <c r="G55" s="135" t="n">
        <v>2</v>
      </c>
      <c r="H55" s="130" t="inlineStr">
        <is>
          <t>D</t>
        </is>
      </c>
      <c r="I55" s="130" t="n">
        <v>2</v>
      </c>
      <c r="J55" s="130" t="n">
        <v>66</v>
      </c>
      <c r="K55" s="130" t="n">
        <v>61</v>
      </c>
      <c r="L55" s="130" t="inlineStr">
        <is>
          <t>.</t>
        </is>
      </c>
      <c r="M55" s="130" t="inlineStr">
        <is>
          <t>.</t>
        </is>
      </c>
      <c r="N55" s="37" t="n">
        <v>59.02</v>
      </c>
      <c r="O55" s="37" t="n">
        <v>4.1</v>
      </c>
      <c r="P55" s="37" t="n">
        <v>63.12</v>
      </c>
      <c r="Q55" s="51" t="n">
        <v>75.23</v>
      </c>
      <c r="R55" s="165" t="n"/>
      <c r="S55" s="150" t="n">
        <v>156700</v>
      </c>
      <c r="T55" s="359" t="n">
        <v>15670</v>
      </c>
      <c r="U55" s="370" t="n">
        <v>172370</v>
      </c>
      <c r="V55" s="226" t="n">
        <v>5237.1</v>
      </c>
      <c r="W55" s="323" t="n">
        <v>12000</v>
      </c>
      <c r="X55" s="134" t="n">
        <v>8618.5</v>
      </c>
      <c r="Y55" s="134" t="n">
        <v>21154.39999999999</v>
      </c>
      <c r="Z55" s="326" t="n">
        <v>125360</v>
      </c>
      <c r="AA55" s="495">
        <f>AA54+2</f>
        <v/>
      </c>
      <c r="AB55" s="43" t="inlineStr">
        <is>
          <t>MARIA DOLORES MERINO GARRIDO</t>
        </is>
      </c>
      <c r="AC55" s="44" t="n"/>
      <c r="AD55" s="45" t="n"/>
      <c r="AE55" s="30" t="inlineStr">
        <is>
          <t>lola@inmohabitat.es</t>
        </is>
      </c>
      <c r="AF55" s="30" t="inlineStr">
        <is>
          <t>----------------</t>
        </is>
      </c>
      <c r="AG55" s="30" t="n"/>
      <c r="AH55" s="47" t="n"/>
      <c r="AI55" s="87" t="n"/>
      <c r="AJ55" s="30" t="n"/>
      <c r="AK55" s="88" t="inlineStr">
        <is>
          <t>Plaza de la Americas 8  de Badajoz</t>
        </is>
      </c>
      <c r="AL55" s="32" t="n"/>
      <c r="AM55" s="33" t="n"/>
      <c r="AN55" s="33" t="n"/>
      <c r="AO55" s="33" t="n"/>
      <c r="AP55" s="33" t="n"/>
      <c r="AQ55" s="33" t="n"/>
      <c r="AR55" s="33" t="n"/>
      <c r="AS55" s="33" t="n"/>
      <c r="AT55" s="73" t="n">
        <v>0</v>
      </c>
      <c r="AU55" s="33" t="n"/>
      <c r="AV55" s="33" t="inlineStr">
        <is>
          <t>Inversión</t>
        </is>
      </c>
      <c r="AW55" s="33" t="n"/>
      <c r="AX55" s="33" t="n"/>
      <c r="BB55">
        <f>IF(A55="RESERVADO",S55,"LIBRE")</f>
        <v/>
      </c>
      <c r="BC55" s="218" t="inlineStr">
        <is>
          <t>ES38 0049 4640 9825 1609 3727</t>
        </is>
      </c>
    </row>
    <row r="56" ht="14.25" customHeight="1" thickBot="1">
      <c r="A56" s="31" t="inlineStr">
        <is>
          <t>RESERVADO</t>
        </is>
      </c>
      <c r="B56" s="417" t="n">
        <v>45007</v>
      </c>
      <c r="C56" s="417" t="n">
        <v>45371</v>
      </c>
      <c r="E56" s="137" t="n">
        <v>45</v>
      </c>
      <c r="F56" s="138" t="n">
        <v>2</v>
      </c>
      <c r="G56" s="139" t="n">
        <v>2</v>
      </c>
      <c r="H56" s="140" t="inlineStr">
        <is>
          <t>E</t>
        </is>
      </c>
      <c r="I56" s="140" t="n">
        <v>3</v>
      </c>
      <c r="J56" s="140" t="n">
        <v>5</v>
      </c>
      <c r="K56" s="140" t="n">
        <v>8</v>
      </c>
      <c r="L56" s="140" t="inlineStr">
        <is>
          <t>.</t>
        </is>
      </c>
      <c r="M56" s="140" t="inlineStr">
        <is>
          <t>.</t>
        </is>
      </c>
      <c r="N56" s="141" t="n">
        <v>93.23999999999999</v>
      </c>
      <c r="O56" s="141" t="n">
        <v>5.04</v>
      </c>
      <c r="P56" s="141" t="n">
        <v>98.28</v>
      </c>
      <c r="Q56" s="55" t="n">
        <v>113.72</v>
      </c>
      <c r="R56" s="166" t="n"/>
      <c r="S56" s="167" t="n">
        <v>225000</v>
      </c>
      <c r="T56" s="360" t="n">
        <v>22500</v>
      </c>
      <c r="U56" s="371" t="n">
        <v>247500</v>
      </c>
      <c r="V56" s="262" t="n">
        <v>7425</v>
      </c>
      <c r="W56" s="322" t="n">
        <v>24750</v>
      </c>
      <c r="X56" s="144" t="n">
        <v>12375</v>
      </c>
      <c r="Y56" s="144" t="n">
        <v>22950</v>
      </c>
      <c r="Z56" s="339" t="n">
        <v>180000</v>
      </c>
      <c r="AA56" s="495">
        <f>AA55+2</f>
        <v/>
      </c>
      <c r="AB56" s="43" t="inlineStr">
        <is>
          <t>JUAN JOSE GALLARDO ARCOS</t>
        </is>
      </c>
      <c r="AC56" s="44" t="n"/>
      <c r="AD56" s="45" t="n"/>
      <c r="AE56" s="48" t="inlineStr">
        <is>
          <t>jjga0360@gmail.com</t>
        </is>
      </c>
      <c r="AF56" s="94" t="inlineStr">
        <is>
          <t>CATALINA MURILLO CARMONA</t>
        </is>
      </c>
      <c r="AG56" s="94" t="n"/>
      <c r="AH56" s="47" t="n"/>
      <c r="AI56" s="257" t="n"/>
      <c r="AJ56" s="30" t="inlineStr">
        <is>
          <t>casados</t>
        </is>
      </c>
      <c r="AK56" s="88" t="inlineStr">
        <is>
          <t>C/. Labradores 22, bajo - Campanario (Badajoz)</t>
        </is>
      </c>
      <c r="AL56" s="32" t="n"/>
      <c r="AM56" s="33" t="inlineStr">
        <is>
          <t>no</t>
        </is>
      </c>
      <c r="AN56" s="33" t="n">
        <v>63</v>
      </c>
      <c r="AO56" s="33" t="inlineStr">
        <is>
          <t>Jubilado</t>
        </is>
      </c>
      <c r="AP56" s="33" t="n"/>
      <c r="AQ56" s="33" t="n">
        <v>62</v>
      </c>
      <c r="AR56" s="33" t="inlineStr">
        <is>
          <t>Profesora</t>
        </is>
      </c>
      <c r="AS56" s="33" t="n"/>
      <c r="AT56" s="49" t="n">
        <v>0</v>
      </c>
      <c r="AU56" s="33" t="inlineStr">
        <is>
          <t>No</t>
        </is>
      </c>
      <c r="AV56" s="33" t="inlineStr">
        <is>
          <t>traslado</t>
        </is>
      </c>
      <c r="AW56" s="33" t="n"/>
      <c r="AX56" s="33" t="inlineStr">
        <is>
          <t>Otra localidad</t>
        </is>
      </c>
      <c r="BB56">
        <f>IF(A56="RESERVADO",S56,"LIBRE")</f>
        <v/>
      </c>
      <c r="BC56" s="218" t="inlineStr">
        <is>
          <t>ES06 2085 4575 0103 3004 3050</t>
        </is>
      </c>
    </row>
    <row r="57" ht="14.25" customHeight="1">
      <c r="A57" s="31" t="inlineStr">
        <is>
          <t>RESERVADO</t>
        </is>
      </c>
      <c r="B57" s="417" t="n">
        <v>45012</v>
      </c>
      <c r="C57" s="417" t="n">
        <v>45407</v>
      </c>
      <c r="D57" s="353" t="n"/>
      <c r="E57" s="168" t="n">
        <v>46</v>
      </c>
      <c r="F57" s="169" t="n">
        <v>2</v>
      </c>
      <c r="G57" s="156" t="n">
        <v>3</v>
      </c>
      <c r="H57" s="170" t="inlineStr">
        <is>
          <t>A</t>
        </is>
      </c>
      <c r="I57" s="156" t="n">
        <v>5</v>
      </c>
      <c r="J57" s="152" t="n">
        <v>31</v>
      </c>
      <c r="K57" s="350" t="n">
        <v>6</v>
      </c>
      <c r="L57" s="156" t="inlineStr">
        <is>
          <t>.</t>
        </is>
      </c>
      <c r="M57" s="156" t="inlineStr">
        <is>
          <t>.</t>
        </is>
      </c>
      <c r="N57" s="52" t="n">
        <v>136.46</v>
      </c>
      <c r="O57" s="52" t="n">
        <v>11.32</v>
      </c>
      <c r="P57" s="52" t="n">
        <v>147.78</v>
      </c>
      <c r="Q57" s="52" t="n">
        <v>166.22</v>
      </c>
      <c r="R57" s="165" t="n"/>
      <c r="S57" s="150" t="n">
        <v>351000</v>
      </c>
      <c r="T57" s="358" t="n">
        <v>35100</v>
      </c>
      <c r="U57" s="369" t="n">
        <v>386100</v>
      </c>
      <c r="V57" s="228" t="n">
        <v>11517</v>
      </c>
      <c r="W57" s="324" t="n">
        <v>38590</v>
      </c>
      <c r="X57" s="127" t="n">
        <v>19305</v>
      </c>
      <c r="Y57" s="127" t="n">
        <v>35888</v>
      </c>
      <c r="Z57" s="338" t="n">
        <v>280800</v>
      </c>
      <c r="AA57" s="495">
        <f>AA56+2</f>
        <v/>
      </c>
      <c r="AB57" s="43" t="inlineStr">
        <is>
          <t>MANUEL DURAN GARCIA</t>
        </is>
      </c>
      <c r="AC57" s="72" t="n"/>
      <c r="AD57" s="45" t="n"/>
      <c r="AE57" s="30" t="inlineStr">
        <is>
          <t>manu.duran84@hotmail.com</t>
        </is>
      </c>
      <c r="AF57" s="94" t="inlineStr">
        <is>
          <t>LAURA GASTON RAMOS</t>
        </is>
      </c>
      <c r="AG57" s="94" t="n"/>
      <c r="AH57" s="47" t="n"/>
      <c r="AI57" s="87" t="n"/>
      <c r="AJ57" s="30" t="inlineStr">
        <is>
          <t>casados en separación de bienes</t>
        </is>
      </c>
      <c r="AK57" s="88" t="inlineStr">
        <is>
          <t>Av. Augusto Vazquez 7, 7ºA de Badajoz</t>
        </is>
      </c>
      <c r="AL57" s="32" t="n"/>
      <c r="AM57" s="33" t="inlineStr">
        <is>
          <t>si</t>
        </is>
      </c>
      <c r="AN57" s="33" t="n">
        <v>39</v>
      </c>
      <c r="AO57" s="33" t="inlineStr">
        <is>
          <t>Gerente Gimnasio</t>
        </is>
      </c>
      <c r="AP57" s="33" t="n"/>
      <c r="AQ57" s="33" t="n">
        <v>35</v>
      </c>
      <c r="AR57" s="33" t="inlineStr">
        <is>
          <t>Profesora</t>
        </is>
      </c>
      <c r="AS57" s="33" t="n"/>
      <c r="AT57" s="33" t="n"/>
      <c r="AU57" s="33" t="n"/>
      <c r="AV57" s="33" t="inlineStr">
        <is>
          <t>Reposicion</t>
        </is>
      </c>
      <c r="AW57" s="33" t="inlineStr">
        <is>
          <t>Mejora</t>
        </is>
      </c>
      <c r="AX57" s="33" t="inlineStr">
        <is>
          <t>San Fernando</t>
        </is>
      </c>
      <c r="BB57">
        <f>IF(A57="RESERVADO",S57,"LIBRE")</f>
        <v/>
      </c>
      <c r="BC57" s="218" t="inlineStr">
        <is>
          <t>ES56 0182 1487 5202 0167 6651</t>
        </is>
      </c>
    </row>
    <row r="58" ht="14.25" customHeight="1">
      <c r="A58" s="31" t="inlineStr">
        <is>
          <t>RESERVADO</t>
        </is>
      </c>
      <c r="B58" s="417" t="n">
        <v>44874</v>
      </c>
      <c r="C58" s="417" t="n">
        <v>45386</v>
      </c>
      <c r="E58" s="168" t="n">
        <v>47</v>
      </c>
      <c r="F58" s="169" t="n">
        <v>2</v>
      </c>
      <c r="G58" s="156" t="n">
        <v>3</v>
      </c>
      <c r="H58" s="170" t="inlineStr">
        <is>
          <t>B</t>
        </is>
      </c>
      <c r="I58" s="156" t="n">
        <v>4</v>
      </c>
      <c r="J58" s="156" t="n">
        <v>37</v>
      </c>
      <c r="K58" s="156" t="n">
        <v>40</v>
      </c>
      <c r="L58" s="156" t="inlineStr">
        <is>
          <t>.</t>
        </is>
      </c>
      <c r="M58" s="156" t="inlineStr">
        <is>
          <t>.</t>
        </is>
      </c>
      <c r="N58" s="52" t="n">
        <v>115.06</v>
      </c>
      <c r="O58" s="52" t="n">
        <v>11.54</v>
      </c>
      <c r="P58" s="52" t="n">
        <v>126.6</v>
      </c>
      <c r="Q58" s="52" t="n">
        <v>141.97</v>
      </c>
      <c r="R58" s="165" t="n"/>
      <c r="S58" s="150" t="n">
        <v>294000</v>
      </c>
      <c r="T58" s="359" t="n">
        <v>29400</v>
      </c>
      <c r="U58" s="370" t="n">
        <v>323400</v>
      </c>
      <c r="V58" s="226" t="n">
        <v>16170</v>
      </c>
      <c r="W58" s="323" t="n">
        <v>32340</v>
      </c>
      <c r="X58" s="134" t="n">
        <v>16170</v>
      </c>
      <c r="Y58" s="134" t="n">
        <v>23520</v>
      </c>
      <c r="Z58" s="326" t="n">
        <v>235200</v>
      </c>
      <c r="AA58" s="495">
        <f>AA57+2</f>
        <v/>
      </c>
      <c r="AB58" s="43" t="inlineStr">
        <is>
          <t>ANGEL CARRION AGUILERA</t>
        </is>
      </c>
      <c r="AC58" s="44" t="n"/>
      <c r="AD58" s="45" t="n"/>
      <c r="AE58" s="48" t="inlineStr">
        <is>
          <t>angelcarrion13@gmail.com</t>
        </is>
      </c>
      <c r="AF58" s="94" t="inlineStr">
        <is>
          <t>RAQUEL MURIEL RODRIGUEZ</t>
        </is>
      </c>
      <c r="AG58" s="94" t="n"/>
      <c r="AH58" s="47" t="n"/>
      <c r="AI58" s="257" t="inlineStr">
        <is>
          <t>raquelmriel13@gmail.com</t>
        </is>
      </c>
      <c r="AJ58" s="48" t="inlineStr">
        <is>
          <t>casados</t>
        </is>
      </c>
      <c r="AK58" s="88" t="inlineStr">
        <is>
          <t>C/. Castillo de Feria 11 de Badajoz</t>
        </is>
      </c>
      <c r="AL58" s="32" t="n"/>
      <c r="AM58" s="33" t="inlineStr">
        <is>
          <t>no</t>
        </is>
      </c>
      <c r="AN58" s="33" t="n">
        <v>60</v>
      </c>
      <c r="AO58" s="33" t="inlineStr">
        <is>
          <t>Profesor</t>
        </is>
      </c>
      <c r="AP58" s="33" t="n">
        <v>2200</v>
      </c>
      <c r="AQ58" s="33" t="n">
        <v>60</v>
      </c>
      <c r="AR58" s="33" t="inlineStr">
        <is>
          <t>Profesora</t>
        </is>
      </c>
      <c r="AS58" s="33" t="n">
        <v>2200</v>
      </c>
      <c r="AT58" s="49" t="n">
        <v>0.2</v>
      </c>
      <c r="AU58" s="33" t="inlineStr">
        <is>
          <t>si</t>
        </is>
      </c>
      <c r="AV58" s="33" t="inlineStr">
        <is>
          <t>reposición</t>
        </is>
      </c>
      <c r="AW58" s="33" t="inlineStr">
        <is>
          <t>vende unifamiliar</t>
        </is>
      </c>
      <c r="AX58" s="33" t="inlineStr">
        <is>
          <t>U. Guadiana</t>
        </is>
      </c>
      <c r="BB58">
        <f>IF(A58="RESERVADO",S58,"LIBRE")</f>
        <v/>
      </c>
      <c r="BC58" s="218" t="inlineStr">
        <is>
          <t>ES57 1465 0100 9117 1838 5529</t>
        </is>
      </c>
    </row>
    <row r="59" ht="14.25" customHeight="1">
      <c r="A59" s="31" t="inlineStr">
        <is>
          <t>RESERVADO</t>
        </is>
      </c>
      <c r="B59" s="417" t="n">
        <v>44648</v>
      </c>
      <c r="C59" s="417" t="n">
        <v>45386</v>
      </c>
      <c r="E59" s="171" t="n">
        <v>48</v>
      </c>
      <c r="F59" s="129" t="n">
        <v>2</v>
      </c>
      <c r="G59" s="135" t="n">
        <v>3</v>
      </c>
      <c r="H59" s="130" t="inlineStr">
        <is>
          <t>C</t>
        </is>
      </c>
      <c r="I59" s="130" t="n">
        <v>3</v>
      </c>
      <c r="J59" s="130" t="n">
        <v>18</v>
      </c>
      <c r="K59" s="130" t="n">
        <v>26</v>
      </c>
      <c r="L59" s="130" t="inlineStr">
        <is>
          <t>.</t>
        </is>
      </c>
      <c r="M59" s="130" t="inlineStr">
        <is>
          <t>.</t>
        </is>
      </c>
      <c r="N59" s="71" t="n">
        <v>95.29000000000001</v>
      </c>
      <c r="O59" s="71" t="n">
        <v>5.04</v>
      </c>
      <c r="P59" s="71" t="n">
        <v>100.33</v>
      </c>
      <c r="Q59" s="112" t="n">
        <v>116.06</v>
      </c>
      <c r="R59" s="165" t="n"/>
      <c r="S59" s="150" t="n">
        <v>232000</v>
      </c>
      <c r="T59" s="359" t="n">
        <v>23200</v>
      </c>
      <c r="U59" s="370" t="n">
        <v>255200</v>
      </c>
      <c r="V59" s="232" t="n">
        <v>12760</v>
      </c>
      <c r="W59" s="323" t="n">
        <v>20000</v>
      </c>
      <c r="X59" s="134" t="n">
        <v>18280</v>
      </c>
      <c r="Y59" s="134" t="n">
        <v>18560</v>
      </c>
      <c r="Z59" s="326" t="n">
        <v>185600</v>
      </c>
      <c r="AA59" s="495">
        <f>AA58+2</f>
        <v/>
      </c>
      <c r="AB59" s="43" t="inlineStr">
        <is>
          <t>JOSE DIEGO HIDALGO DOMINGUEZ</t>
        </is>
      </c>
      <c r="AC59" s="44" t="n"/>
      <c r="AD59" s="45" t="n"/>
      <c r="AE59" s="48" t="inlineStr">
        <is>
          <t>josediegoj75@gmail.com</t>
        </is>
      </c>
      <c r="AF59" s="46" t="inlineStr">
        <is>
          <t>YOLANDA ESQUINAS RAMOS</t>
        </is>
      </c>
      <c r="AG59" s="30" t="n"/>
      <c r="AH59" s="47" t="n"/>
      <c r="AI59" s="87" t="inlineStr">
        <is>
          <t>luz_de_elendil@hotmail.com</t>
        </is>
      </c>
      <c r="AJ59" s="30" t="inlineStr">
        <is>
          <t>casados</t>
        </is>
      </c>
      <c r="AK59" s="88" t="inlineStr">
        <is>
          <t>C/. Julia Urdiain Zubelzu 8; bloque 3, 1º E de Badajoz</t>
        </is>
      </c>
      <c r="AL59" s="89" t="n"/>
      <c r="AM59" s="90" t="inlineStr">
        <is>
          <t>hijos</t>
        </is>
      </c>
      <c r="AN59" s="90" t="n">
        <v>47</v>
      </c>
      <c r="AO59" s="90" t="inlineStr">
        <is>
          <t>Banca</t>
        </is>
      </c>
      <c r="AP59" s="90" t="n">
        <v>2200</v>
      </c>
      <c r="AQ59" s="90" t="n">
        <v>43</v>
      </c>
      <c r="AR59" s="90" t="inlineStr">
        <is>
          <t>Mercadona</t>
        </is>
      </c>
      <c r="AS59" s="90" t="n">
        <v>1100</v>
      </c>
      <c r="AT59" s="90" t="n">
        <v>0.8</v>
      </c>
      <c r="AU59" s="90" t="inlineStr">
        <is>
          <t>no</t>
        </is>
      </c>
      <c r="AV59" s="90" t="inlineStr">
        <is>
          <t>Reposición</t>
        </is>
      </c>
      <c r="AW59" s="90" t="inlineStr">
        <is>
          <t>de 2 a 3</t>
        </is>
      </c>
      <c r="AX59" s="90" t="inlineStr">
        <is>
          <t>Jardines</t>
        </is>
      </c>
      <c r="BB59">
        <f>IF(A59="RESERVADO",S59,"LIBRE")</f>
        <v/>
      </c>
      <c r="BC59" s="218" t="inlineStr">
        <is>
          <t>ES61 2100 1209 6102 0009 4376</t>
        </is>
      </c>
    </row>
    <row r="60" ht="14.25" customHeight="1">
      <c r="A60" s="31" t="inlineStr">
        <is>
          <t>RESERVADO</t>
        </is>
      </c>
      <c r="B60" s="417" t="n">
        <v>44642</v>
      </c>
      <c r="C60" s="416" t="n">
        <v>45426</v>
      </c>
      <c r="E60" s="128" t="n">
        <v>49</v>
      </c>
      <c r="F60" s="129" t="n">
        <v>2</v>
      </c>
      <c r="G60" s="135" t="n">
        <v>3</v>
      </c>
      <c r="H60" s="130" t="inlineStr">
        <is>
          <t>D</t>
        </is>
      </c>
      <c r="I60" s="130" t="n">
        <v>2</v>
      </c>
      <c r="J60" s="130" t="n">
        <v>67</v>
      </c>
      <c r="K60" s="130" t="n">
        <v>62</v>
      </c>
      <c r="L60" s="130" t="inlineStr">
        <is>
          <t>.</t>
        </is>
      </c>
      <c r="M60" s="130" t="inlineStr">
        <is>
          <t>.</t>
        </is>
      </c>
      <c r="N60" s="71" t="n">
        <v>59.02</v>
      </c>
      <c r="O60" s="71" t="n">
        <v>4.1</v>
      </c>
      <c r="P60" s="71" t="n">
        <v>63.12</v>
      </c>
      <c r="Q60" s="112" t="n">
        <v>75.23</v>
      </c>
      <c r="R60" s="165" t="n"/>
      <c r="S60" s="150" t="n">
        <v>158700</v>
      </c>
      <c r="T60" s="359" t="n">
        <v>15870</v>
      </c>
      <c r="U60" s="370" t="n">
        <v>174570</v>
      </c>
      <c r="V60" s="226" t="n">
        <v>5237.099999999999</v>
      </c>
      <c r="W60" s="323" t="n">
        <v>12250</v>
      </c>
      <c r="X60" s="134" t="n">
        <v>8728.5</v>
      </c>
      <c r="Y60" s="134" t="n">
        <v>21394.39999999999</v>
      </c>
      <c r="Z60" s="326" t="n">
        <v>126960</v>
      </c>
      <c r="AA60" s="495">
        <f>AA59+2</f>
        <v/>
      </c>
      <c r="AB60" s="43" t="inlineStr">
        <is>
          <t>ALBERTO GARCIA SARDIÑA</t>
        </is>
      </c>
      <c r="AC60" s="44" t="n"/>
      <c r="AD60" s="45" t="n"/>
      <c r="AE60" s="30" t="inlineStr">
        <is>
          <t>alberto@inmohabitat.es</t>
        </is>
      </c>
      <c r="AF60" s="30" t="inlineStr">
        <is>
          <t>----------------</t>
        </is>
      </c>
      <c r="AG60" s="30" t="n"/>
      <c r="AH60" s="47" t="n"/>
      <c r="AI60" s="87" t="n"/>
      <c r="AJ60" s="30" t="n"/>
      <c r="AK60" s="88" t="inlineStr">
        <is>
          <t>Plaza de la Americas 8 de Badajoz</t>
        </is>
      </c>
      <c r="AL60" s="32" t="n"/>
      <c r="AM60" s="33" t="n"/>
      <c r="AN60" s="33" t="n"/>
      <c r="AO60" s="33" t="n"/>
      <c r="AP60" s="33" t="n"/>
      <c r="AQ60" s="33" t="n"/>
      <c r="AR60" s="33" t="n"/>
      <c r="AS60" s="33" t="n"/>
      <c r="AT60" s="73" t="n">
        <v>0</v>
      </c>
      <c r="AU60" s="33" t="n"/>
      <c r="AV60" s="33" t="inlineStr">
        <is>
          <t>Inversión</t>
        </is>
      </c>
      <c r="AW60" s="33" t="n"/>
      <c r="AX60" s="33" t="n"/>
      <c r="BB60">
        <f>IF(A60="RESERVADO",S60,"LIBRE")</f>
        <v/>
      </c>
      <c r="BC60" s="218" t="inlineStr">
        <is>
          <t>ES72 0049 4640 9726 1037 2411</t>
        </is>
      </c>
    </row>
    <row r="61" ht="14.25" customHeight="1" thickBot="1">
      <c r="A61" s="31" t="inlineStr">
        <is>
          <t>RESERVADO</t>
        </is>
      </c>
      <c r="B61" s="417" t="n"/>
      <c r="C61" s="416" t="n">
        <v>45415</v>
      </c>
      <c r="E61" s="172" t="n">
        <v>50</v>
      </c>
      <c r="F61" s="173" t="n">
        <v>2</v>
      </c>
      <c r="G61" s="174" t="n">
        <v>3</v>
      </c>
      <c r="H61" s="175" t="inlineStr">
        <is>
          <t>E</t>
        </is>
      </c>
      <c r="I61" s="175" t="n">
        <v>3</v>
      </c>
      <c r="J61" s="175" t="n">
        <v>23</v>
      </c>
      <c r="K61" s="175" t="n">
        <v>31</v>
      </c>
      <c r="L61" s="176" t="inlineStr">
        <is>
          <t>.</t>
        </is>
      </c>
      <c r="M61" s="176" t="inlineStr">
        <is>
          <t>.</t>
        </is>
      </c>
      <c r="N61" s="177" t="n">
        <v>93.23999999999999</v>
      </c>
      <c r="O61" s="177" t="n">
        <v>5.04</v>
      </c>
      <c r="P61" s="177" t="n">
        <v>98.28</v>
      </c>
      <c r="Q61" s="178" t="n">
        <v>113.72</v>
      </c>
      <c r="R61" s="179" t="n"/>
      <c r="S61" s="180" t="n">
        <v>234000</v>
      </c>
      <c r="T61" s="361" t="n">
        <v>23400</v>
      </c>
      <c r="U61" s="372" t="n">
        <v>257400</v>
      </c>
      <c r="V61" s="378" t="n">
        <v>7722</v>
      </c>
      <c r="W61" s="380" t="n">
        <v>27740</v>
      </c>
      <c r="X61" s="182" t="n">
        <v>12870</v>
      </c>
      <c r="Y61" s="182" t="n">
        <v>21868</v>
      </c>
      <c r="Z61" s="340" t="n">
        <v>187200</v>
      </c>
      <c r="AA61" s="495">
        <f>AA60+2</f>
        <v/>
      </c>
      <c r="AB61" s="219" t="inlineStr">
        <is>
          <t>FELIPA PEREZ CORRALES</t>
        </is>
      </c>
      <c r="AC61" s="220" t="n"/>
      <c r="AD61" s="221" t="n"/>
      <c r="AE61" s="222" t="inlineStr">
        <is>
          <t>perezcorrales_@hotmail.com</t>
        </is>
      </c>
      <c r="AF61" s="222" t="n"/>
      <c r="AG61" s="222" t="n"/>
      <c r="AH61" s="373" t="n"/>
      <c r="AI61" s="374" t="n"/>
      <c r="AJ61" s="222" t="n"/>
      <c r="AK61" s="375" t="inlineStr">
        <is>
          <t>C/. Madame Curie 209, 1ºB de Cáceres</t>
        </is>
      </c>
      <c r="AL61" s="376" t="n"/>
      <c r="AM61" s="377" t="inlineStr">
        <is>
          <t>no</t>
        </is>
      </c>
      <c r="AN61" s="377" t="n">
        <v>63</v>
      </c>
      <c r="AO61" s="377" t="inlineStr">
        <is>
          <t>Funcionario</t>
        </is>
      </c>
      <c r="AP61" s="377" t="n">
        <v>1500</v>
      </c>
      <c r="AQ61" s="377" t="n"/>
      <c r="AR61" s="377" t="n"/>
      <c r="AS61" s="377" t="n"/>
      <c r="AT61" s="377" t="n">
        <v>0</v>
      </c>
      <c r="AU61" s="377" t="inlineStr">
        <is>
          <t>no</t>
        </is>
      </c>
      <c r="AV61" s="377" t="inlineStr">
        <is>
          <t>Reposicion</t>
        </is>
      </c>
      <c r="AW61" s="377" t="n"/>
      <c r="AX61" s="377" t="inlineStr">
        <is>
          <t>Otra localidad (Cáceres)</t>
        </is>
      </c>
      <c r="AY61" s="355" t="n"/>
      <c r="AZ61" s="355" t="n"/>
      <c r="BA61" s="355" t="n"/>
      <c r="BB61" s="355" t="n">
        <v>239700</v>
      </c>
      <c r="BC61" s="355" t="inlineStr">
        <is>
          <t>ES60 3009 0110 9628 2475 4325</t>
        </is>
      </c>
    </row>
    <row r="62" ht="14.25" customHeight="1">
      <c r="A62" s="31" t="inlineStr">
        <is>
          <t>RESERVADO</t>
        </is>
      </c>
      <c r="B62" s="417" t="n">
        <v>44641</v>
      </c>
      <c r="C62" s="417" t="n">
        <v>45393</v>
      </c>
      <c r="E62" s="16" t="n">
        <v>51</v>
      </c>
      <c r="F62" s="17" t="n">
        <v>3</v>
      </c>
      <c r="G62" s="183" t="inlineStr">
        <is>
          <t>BAJA</t>
        </is>
      </c>
      <c r="H62" s="18" t="inlineStr">
        <is>
          <t>A</t>
        </is>
      </c>
      <c r="I62" s="183" t="n">
        <v>3</v>
      </c>
      <c r="J62" s="183" t="n">
        <v>1</v>
      </c>
      <c r="K62" s="183" t="n">
        <v>1</v>
      </c>
      <c r="L62" s="183" t="inlineStr">
        <is>
          <t>.</t>
        </is>
      </c>
      <c r="M62" s="183" t="inlineStr">
        <is>
          <t>.</t>
        </is>
      </c>
      <c r="N62" s="19" t="n">
        <v>89.76000000000001</v>
      </c>
      <c r="O62" s="19" t="n">
        <v>7.26</v>
      </c>
      <c r="P62" s="19" t="n">
        <v>97.02000000000001</v>
      </c>
      <c r="Q62" s="184" t="n">
        <v>112.41</v>
      </c>
      <c r="R62" s="184" t="n">
        <v>20.32</v>
      </c>
      <c r="S62" s="185" t="n">
        <v>245400</v>
      </c>
      <c r="T62" s="86" t="n">
        <v>24540</v>
      </c>
      <c r="U62" s="367" t="n">
        <v>269940</v>
      </c>
      <c r="V62" s="97" t="n">
        <v>13497</v>
      </c>
      <c r="W62" s="97" t="n">
        <v>26994</v>
      </c>
      <c r="X62" s="67" t="n">
        <v>13497</v>
      </c>
      <c r="Y62" s="67" t="n">
        <v>19632</v>
      </c>
      <c r="Z62" s="336" t="n">
        <v>196320</v>
      </c>
      <c r="AA62" s="495">
        <f>AA61+2</f>
        <v/>
      </c>
      <c r="AB62" s="43" t="inlineStr">
        <is>
          <t>RICARDO ANTONIO SANCHEZ HERNANDEZ</t>
        </is>
      </c>
      <c r="AC62" s="44" t="n"/>
      <c r="AD62" s="45" t="n"/>
      <c r="AE62" s="30" t="inlineStr">
        <is>
          <t>rschzrico@gmail.com</t>
        </is>
      </c>
      <c r="AF62" s="46" t="inlineStr">
        <is>
          <t>JUANA RICO ALBERCA</t>
        </is>
      </c>
      <c r="AG62" s="46" t="n"/>
      <c r="AH62" s="47" t="n"/>
      <c r="AI62" s="87" t="inlineStr">
        <is>
          <t>jricoalberca@gmail.com</t>
        </is>
      </c>
      <c r="AJ62" s="30" t="inlineStr">
        <is>
          <t>casados</t>
        </is>
      </c>
      <c r="AK62" s="88" t="inlineStr">
        <is>
          <t>Calle Julia Urdiain Zubelzu 3, 3ºD de Badajoz</t>
        </is>
      </c>
      <c r="AL62" s="32" t="n"/>
      <c r="AM62" s="33" t="inlineStr">
        <is>
          <t>hijos</t>
        </is>
      </c>
      <c r="AN62" s="33" t="n">
        <v>69</v>
      </c>
      <c r="AO62" s="33" t="inlineStr">
        <is>
          <t>Jubilado</t>
        </is>
      </c>
      <c r="AP62" s="33" t="n">
        <v>1200</v>
      </c>
      <c r="AQ62" s="33" t="n">
        <v>58</v>
      </c>
      <c r="AR62" s="33" t="inlineStr">
        <is>
          <t>funcionaria</t>
        </is>
      </c>
      <c r="AS62" s="33" t="n">
        <v>1600</v>
      </c>
      <c r="AT62" s="73" t="n">
        <v>0</v>
      </c>
      <c r="AU62" s="33" t="inlineStr">
        <is>
          <t>no</t>
        </is>
      </c>
      <c r="AV62" s="33" t="inlineStr">
        <is>
          <t>Para hijos</t>
        </is>
      </c>
      <c r="AW62" s="33" t="inlineStr">
        <is>
          <t>Cercania</t>
        </is>
      </c>
      <c r="AX62" s="33" t="inlineStr">
        <is>
          <t>Jardines</t>
        </is>
      </c>
      <c r="BB62">
        <f>IF(A62="RESERVADO",S62,"LIBRE")</f>
        <v/>
      </c>
      <c r="BC62" s="9" t="inlineStr">
        <is>
          <t>ES78 0182 5877 1302 0160 7173</t>
        </is>
      </c>
      <c r="BD62" s="382" t="n"/>
    </row>
    <row r="63" ht="14.25" customHeight="1" thickBot="1">
      <c r="A63" s="442" t="inlineStr">
        <is>
          <t>DISPONIBLE</t>
        </is>
      </c>
      <c r="B63" s="33" t="n"/>
      <c r="C63" s="417" t="n"/>
      <c r="E63" s="34" t="n">
        <v>52</v>
      </c>
      <c r="F63" s="35" t="n">
        <v>3</v>
      </c>
      <c r="G63" s="186" t="inlineStr">
        <is>
          <t>BAJA</t>
        </is>
      </c>
      <c r="H63" s="100" t="inlineStr">
        <is>
          <t>B</t>
        </is>
      </c>
      <c r="I63" s="186" t="n">
        <v>4</v>
      </c>
      <c r="J63" s="186" t="n">
        <v>2</v>
      </c>
      <c r="K63" s="186" t="n">
        <v>2</v>
      </c>
      <c r="L63" s="186" t="inlineStr">
        <is>
          <t>.</t>
        </is>
      </c>
      <c r="M63" s="186" t="inlineStr">
        <is>
          <t>.</t>
        </is>
      </c>
      <c r="N63" s="37" t="n">
        <v>100.96</v>
      </c>
      <c r="O63" s="37" t="n">
        <v>9.57</v>
      </c>
      <c r="P63" s="37" t="n">
        <v>110.53</v>
      </c>
      <c r="Q63" s="187" t="n">
        <v>128.61</v>
      </c>
      <c r="R63" s="187" t="n">
        <v>19.64</v>
      </c>
      <c r="S63" s="188" t="n">
        <v>315000</v>
      </c>
      <c r="T63" s="41" t="n">
        <v>31500</v>
      </c>
      <c r="U63" s="365" t="n">
        <v>346500</v>
      </c>
      <c r="V63" s="70" t="n">
        <v>0</v>
      </c>
      <c r="W63" s="70" t="n">
        <v>41580</v>
      </c>
      <c r="X63" s="42" t="n">
        <v>9450</v>
      </c>
      <c r="Y63" s="120" t="n">
        <v>43470</v>
      </c>
      <c r="Z63" s="334" t="n">
        <v>252000</v>
      </c>
      <c r="AA63" s="495">
        <f>AA62+2</f>
        <v/>
      </c>
      <c r="AB63" s="43" t="n"/>
      <c r="AC63" s="44" t="n"/>
      <c r="AD63" s="45" t="n"/>
      <c r="AE63" s="30" t="n"/>
      <c r="AF63" s="94" t="n"/>
      <c r="AG63" s="94" t="n"/>
      <c r="AH63" s="47" t="n"/>
      <c r="AI63" s="87" t="n"/>
      <c r="AJ63" s="30" t="n"/>
      <c r="AK63" s="88" t="n"/>
      <c r="AL63" s="32" t="n"/>
      <c r="AM63" s="33" t="n"/>
      <c r="AN63" s="33" t="n"/>
      <c r="AO63" s="33" t="n"/>
      <c r="AP63" s="33" t="n"/>
      <c r="AQ63" s="33" t="n"/>
      <c r="AR63" s="33" t="n"/>
      <c r="AS63" s="33" t="n"/>
      <c r="AT63" s="49" t="n"/>
      <c r="AU63" s="33" t="n"/>
      <c r="AV63" s="33" t="n"/>
      <c r="AW63" s="33" t="n"/>
      <c r="AX63" s="33" t="n"/>
      <c r="BB63">
        <f>IF(A63="RESERVADO",S63,"LIBRE")</f>
        <v/>
      </c>
      <c r="BC63" s="218" t="n"/>
    </row>
    <row r="64" ht="14.25" customHeight="1">
      <c r="A64" s="31" t="inlineStr">
        <is>
          <t>RESERVADO</t>
        </is>
      </c>
      <c r="B64" s="417" t="n">
        <v>44699</v>
      </c>
      <c r="C64" s="417" t="n">
        <v>45383</v>
      </c>
      <c r="E64" s="34" t="n">
        <v>53</v>
      </c>
      <c r="F64" s="35" t="n">
        <v>3</v>
      </c>
      <c r="G64" s="186" t="inlineStr">
        <is>
          <t>BAJA</t>
        </is>
      </c>
      <c r="H64" s="100" t="inlineStr">
        <is>
          <t>C</t>
        </is>
      </c>
      <c r="I64" s="186" t="n">
        <v>4</v>
      </c>
      <c r="J64" s="186" t="n">
        <v>27</v>
      </c>
      <c r="K64" s="186" t="n">
        <v>36</v>
      </c>
      <c r="L64" s="186" t="n">
        <v>55</v>
      </c>
      <c r="M64" s="186" t="inlineStr">
        <is>
          <t>.</t>
        </is>
      </c>
      <c r="N64" s="37" t="n">
        <v>99.79000000000001</v>
      </c>
      <c r="O64" s="37" t="n">
        <v>9.15</v>
      </c>
      <c r="P64" s="37" t="n">
        <v>108.94</v>
      </c>
      <c r="Q64" s="187" t="n">
        <v>126.81</v>
      </c>
      <c r="R64" s="187" t="n">
        <v>56.41</v>
      </c>
      <c r="S64" s="188" t="n">
        <v>307200</v>
      </c>
      <c r="T64" s="41" t="n">
        <v>30720</v>
      </c>
      <c r="U64" s="365" t="n">
        <v>337920</v>
      </c>
      <c r="V64" s="70" t="n">
        <v>16896</v>
      </c>
      <c r="W64" s="70" t="n">
        <v>33792</v>
      </c>
      <c r="X64" s="42" t="n">
        <v>16896</v>
      </c>
      <c r="Y64" s="42" t="n">
        <v>24576</v>
      </c>
      <c r="Z64" s="334" t="n">
        <v>245760</v>
      </c>
      <c r="AA64" s="495">
        <f>AA63+2</f>
        <v/>
      </c>
      <c r="AB64" s="43" t="inlineStr">
        <is>
          <t>FELIX ARTURO MERA GALLARDO</t>
        </is>
      </c>
      <c r="AC64" s="44" t="n"/>
      <c r="AD64" s="45" t="n"/>
      <c r="AE64" s="408" t="inlineStr">
        <is>
          <t>felixmeragallardo@gmail.com</t>
        </is>
      </c>
      <c r="AF64" s="94" t="inlineStr">
        <is>
          <t>ROSA MARIA GIJON CAPOTE</t>
        </is>
      </c>
      <c r="AG64" s="94" t="n"/>
      <c r="AH64" s="47" t="n"/>
      <c r="AI64" s="257" t="inlineStr">
        <is>
          <t>rmgcapote@gmail.com</t>
        </is>
      </c>
      <c r="AJ64" s="48" t="inlineStr">
        <is>
          <t>casados</t>
        </is>
      </c>
      <c r="AK64" s="88" t="inlineStr">
        <is>
          <t>C/. Castillo Puebla de Alcocer, 43 de Badajoz</t>
        </is>
      </c>
      <c r="AL64" s="32" t="n"/>
      <c r="AM64" s="33" t="inlineStr">
        <is>
          <t>hijos</t>
        </is>
      </c>
      <c r="AN64" s="33" t="n">
        <v>58</v>
      </c>
      <c r="AO64" s="33" t="inlineStr">
        <is>
          <t>Funcionario</t>
        </is>
      </c>
      <c r="AP64" s="33" t="n">
        <v>1400</v>
      </c>
      <c r="AQ64" s="33" t="n">
        <v>57</v>
      </c>
      <c r="AR64" s="33" t="inlineStr">
        <is>
          <t>Comercial</t>
        </is>
      </c>
      <c r="AS64" s="33" t="n">
        <v>3000</v>
      </c>
      <c r="AT64" s="73" t="n">
        <v>0</v>
      </c>
      <c r="AU64" s="33" t="inlineStr">
        <is>
          <t>si</t>
        </is>
      </c>
      <c r="AV64" s="33" t="inlineStr">
        <is>
          <t>Reposición</t>
        </is>
      </c>
      <c r="AW64" s="33" t="inlineStr">
        <is>
          <t>cambio unifamiliar</t>
        </is>
      </c>
      <c r="AX64" s="33" t="n"/>
      <c r="AY64" s="189" t="inlineStr">
        <is>
          <t>queria 4ª A portal 1</t>
        </is>
      </c>
      <c r="AZ64" s="190" t="n"/>
      <c r="BB64">
        <f>IF(A64="RESERVADO",S64,"LIBRE")</f>
        <v/>
      </c>
      <c r="BC64" s="218" t="inlineStr">
        <is>
          <t>ES05 2103 7120 1700 3009 3611</t>
        </is>
      </c>
      <c r="BD64" s="218" t="inlineStr">
        <is>
          <t>ES05 2103 7120 17 0030093611</t>
        </is>
      </c>
    </row>
    <row r="65" ht="14.25" customHeight="1" thickBot="1">
      <c r="A65" s="31" t="inlineStr">
        <is>
          <t>RESERVADO</t>
        </is>
      </c>
      <c r="B65" s="417" t="n">
        <v>44699</v>
      </c>
      <c r="C65" s="417" t="n">
        <v>45383</v>
      </c>
      <c r="E65" s="80" t="n">
        <v>54</v>
      </c>
      <c r="F65" s="81" t="n">
        <v>3</v>
      </c>
      <c r="G65" s="191" t="inlineStr">
        <is>
          <t>BAJA</t>
        </is>
      </c>
      <c r="H65" s="82" t="inlineStr">
        <is>
          <t>D</t>
        </is>
      </c>
      <c r="I65" s="191" t="n">
        <v>3</v>
      </c>
      <c r="J65" s="191" t="n">
        <v>68</v>
      </c>
      <c r="K65" s="191" t="n">
        <v>63</v>
      </c>
      <c r="L65" s="191" t="inlineStr">
        <is>
          <t>.</t>
        </is>
      </c>
      <c r="M65" s="191" t="inlineStr">
        <is>
          <t>.</t>
        </is>
      </c>
      <c r="N65" s="141" t="n">
        <v>85.84999999999999</v>
      </c>
      <c r="O65" s="141" t="n">
        <v>7.51</v>
      </c>
      <c r="P65" s="141" t="n">
        <v>93.36</v>
      </c>
      <c r="Q65" s="192" t="n">
        <v>108.47</v>
      </c>
      <c r="R65" s="192" t="n">
        <v>48.01</v>
      </c>
      <c r="S65" s="56" t="n">
        <v>267900</v>
      </c>
      <c r="T65" s="104" t="n">
        <v>26790</v>
      </c>
      <c r="U65" s="366" t="n">
        <v>294690</v>
      </c>
      <c r="V65" s="96" t="n">
        <v>14734.5</v>
      </c>
      <c r="W65" s="96" t="n">
        <v>29469</v>
      </c>
      <c r="X65" s="58" t="n">
        <v>14734.5</v>
      </c>
      <c r="Y65" s="58" t="n">
        <v>21432</v>
      </c>
      <c r="Z65" s="335" t="n">
        <v>214320</v>
      </c>
      <c r="AA65" s="495">
        <f>AA64+2</f>
        <v/>
      </c>
      <c r="AB65" s="43" t="inlineStr">
        <is>
          <t>MANUEL LOPEZ LEON</t>
        </is>
      </c>
      <c r="AC65" s="44" t="n"/>
      <c r="AD65" s="45" t="n"/>
      <c r="AE65" s="30" t="inlineStr">
        <is>
          <t>lololopez31@gmail.com</t>
        </is>
      </c>
      <c r="AF65" s="46" t="inlineStr">
        <is>
          <t>CRISTINA POLO FERNANDEZ</t>
        </is>
      </c>
      <c r="AG65" s="46" t="n"/>
      <c r="AH65" s="47" t="n"/>
      <c r="AI65" s="257" t="inlineStr">
        <is>
          <t>cristinapolo83@gmail.com</t>
        </is>
      </c>
      <c r="AJ65" s="30" t="inlineStr">
        <is>
          <t>casados</t>
        </is>
      </c>
      <c r="AK65" s="88" t="inlineStr">
        <is>
          <t>C/. General Cuesta 22, 3A de Badajoz</t>
        </is>
      </c>
      <c r="AL65" s="32" t="n"/>
      <c r="AM65" s="33" t="inlineStr">
        <is>
          <t>hijos</t>
        </is>
      </c>
      <c r="AN65" s="33" t="n">
        <v>39</v>
      </c>
      <c r="AO65" s="33" t="inlineStr">
        <is>
          <t xml:space="preserve">Ingeniero   </t>
        </is>
      </c>
      <c r="AP65" s="33" t="n">
        <v>2200</v>
      </c>
      <c r="AQ65" s="33" t="n">
        <v>39</v>
      </c>
      <c r="AR65" s="33" t="inlineStr">
        <is>
          <t>Prof. Universidad</t>
        </is>
      </c>
      <c r="AS65" s="33" t="n">
        <v>2000</v>
      </c>
      <c r="AT65" s="49" t="n">
        <v>0.5</v>
      </c>
      <c r="AU65" s="33" t="inlineStr">
        <is>
          <t>si</t>
        </is>
      </c>
      <c r="AV65" s="33" t="inlineStr">
        <is>
          <t>Reposción</t>
        </is>
      </c>
      <c r="AW65" s="33" t="inlineStr">
        <is>
          <t>Cercania trabajo</t>
        </is>
      </c>
      <c r="AX65" s="33" t="inlineStr">
        <is>
          <t>Cerro Gordo</t>
        </is>
      </c>
      <c r="BB65">
        <f>IF(A65="RESERVADO",S65,"LIBRE")</f>
        <v/>
      </c>
      <c r="BC65" s="9" t="inlineStr">
        <is>
          <t>ES65 0049 6147 6828 1003 9553</t>
        </is>
      </c>
    </row>
    <row r="66" ht="14.25" customHeight="1">
      <c r="A66" s="31" t="inlineStr">
        <is>
          <t>RESERVADO</t>
        </is>
      </c>
      <c r="B66" s="417" t="n">
        <v>44894</v>
      </c>
      <c r="C66" s="417" t="n">
        <v>45383</v>
      </c>
      <c r="E66" s="193" t="n">
        <v>55</v>
      </c>
      <c r="F66" s="59" t="n">
        <v>3</v>
      </c>
      <c r="G66" s="194" t="n">
        <v>1</v>
      </c>
      <c r="H66" s="60" t="inlineStr">
        <is>
          <t>A</t>
        </is>
      </c>
      <c r="I66" s="194" t="n">
        <v>3</v>
      </c>
      <c r="J66" s="194" t="n">
        <v>28</v>
      </c>
      <c r="K66" s="194" t="n">
        <v>37</v>
      </c>
      <c r="L66" s="194" t="inlineStr">
        <is>
          <t>.</t>
        </is>
      </c>
      <c r="M66" s="194" t="inlineStr">
        <is>
          <t>.</t>
        </is>
      </c>
      <c r="N66" s="61" t="n">
        <v>91.2</v>
      </c>
      <c r="O66" s="61" t="n">
        <v>7.73</v>
      </c>
      <c r="P66" s="61" t="n">
        <v>98.93000000000001</v>
      </c>
      <c r="Q66" s="195" t="n">
        <v>115.85</v>
      </c>
      <c r="R66" s="196" t="n"/>
      <c r="S66" s="197" t="n">
        <v>231100</v>
      </c>
      <c r="T66" s="86" t="n">
        <v>23110</v>
      </c>
      <c r="U66" s="367" t="n">
        <v>254210</v>
      </c>
      <c r="V66" s="198" t="n">
        <v>7626.299999999999</v>
      </c>
      <c r="W66" s="198" t="n">
        <v>25421</v>
      </c>
      <c r="X66" s="199" t="n">
        <v>12710.5</v>
      </c>
      <c r="Y66" s="199" t="n">
        <v>23572.20000000001</v>
      </c>
      <c r="Z66" s="341" t="n">
        <v>184880</v>
      </c>
      <c r="AA66" s="495">
        <f>AA65+2</f>
        <v/>
      </c>
      <c r="AB66" s="43" t="inlineStr">
        <is>
          <t>ESPERANZA FERMOSELLE INFANTE</t>
        </is>
      </c>
      <c r="AC66" s="44" t="n"/>
      <c r="AD66" s="45" t="n"/>
      <c r="AE66" s="48" t="inlineStr">
        <is>
          <t>espferinf@gmail.com</t>
        </is>
      </c>
      <c r="AF66" s="46" t="inlineStr">
        <is>
          <t>ANTONIO FLORIAN RAMIREZ ORDOÑEZ</t>
        </is>
      </c>
      <c r="AG66" s="46" t="n"/>
      <c r="AH66" s="47" t="n"/>
      <c r="AI66" s="257" t="inlineStr">
        <is>
          <t>aframirezo01@educarex.es</t>
        </is>
      </c>
      <c r="AJ66" s="30" t="inlineStr">
        <is>
          <t>solteros</t>
        </is>
      </c>
      <c r="AK66" s="88" t="inlineStr">
        <is>
          <t>Av- Carolina Coronado 9, 4º -2ªpuerta de Badajoz</t>
        </is>
      </c>
      <c r="AL66" s="32" t="n"/>
      <c r="AM66" s="33" t="inlineStr">
        <is>
          <t>no</t>
        </is>
      </c>
      <c r="AN66" s="33" t="n">
        <v>30</v>
      </c>
      <c r="AO66" s="33" t="inlineStr">
        <is>
          <t xml:space="preserve">Profesora </t>
        </is>
      </c>
      <c r="AP66" s="33" t="n">
        <v>1800</v>
      </c>
      <c r="AQ66" s="33" t="n">
        <v>34</v>
      </c>
      <c r="AR66" s="33" t="inlineStr">
        <is>
          <t>Profesora</t>
        </is>
      </c>
      <c r="AS66" s="33" t="n">
        <v>1800</v>
      </c>
      <c r="AT66" s="49" t="n">
        <v>0.8</v>
      </c>
      <c r="AU66" s="33" t="inlineStr">
        <is>
          <t>no</t>
        </is>
      </c>
      <c r="AV66" s="33" t="inlineStr">
        <is>
          <t>1ª Vivienda</t>
        </is>
      </c>
      <c r="AW66" s="33" t="n"/>
      <c r="AX66" s="33" t="inlineStr">
        <is>
          <t>San Fernando</t>
        </is>
      </c>
      <c r="BB66">
        <f>IF(A66="RESERVADO",S66,"LIBRE")</f>
        <v/>
      </c>
      <c r="BC66" s="218" t="inlineStr">
        <is>
          <t>ES17 0182 1487 5302 0175 1606</t>
        </is>
      </c>
    </row>
    <row r="67" ht="14.25" customHeight="1" thickBot="1">
      <c r="A67" s="31" t="inlineStr">
        <is>
          <t>RESERVADO</t>
        </is>
      </c>
      <c r="B67" s="33" t="n"/>
      <c r="C67" s="417" t="n">
        <v>45398</v>
      </c>
      <c r="D67" s="353" t="n"/>
      <c r="E67" s="34" t="n">
        <v>56</v>
      </c>
      <c r="F67" s="35" t="n">
        <v>3</v>
      </c>
      <c r="G67" s="186" t="n">
        <v>1</v>
      </c>
      <c r="H67" s="100" t="inlineStr">
        <is>
          <t>B</t>
        </is>
      </c>
      <c r="I67" s="186" t="n">
        <v>4</v>
      </c>
      <c r="J67" s="259" t="n">
        <v>72</v>
      </c>
      <c r="K67" s="191" t="n">
        <v>67</v>
      </c>
      <c r="L67" s="186" t="inlineStr">
        <is>
          <t>.</t>
        </is>
      </c>
      <c r="M67" s="186" t="inlineStr">
        <is>
          <t>.</t>
        </is>
      </c>
      <c r="N67" s="37" t="n">
        <v>104.92</v>
      </c>
      <c r="O67" s="37" t="n">
        <v>9.6</v>
      </c>
      <c r="P67" s="37" t="n">
        <v>114.52</v>
      </c>
      <c r="Q67" s="187" t="n">
        <v>133.71</v>
      </c>
      <c r="R67" s="165" t="n"/>
      <c r="S67" s="188" t="n">
        <v>304400</v>
      </c>
      <c r="T67" s="41" t="n">
        <v>30440</v>
      </c>
      <c r="U67" s="365" t="n">
        <v>334840</v>
      </c>
      <c r="V67" s="70" t="n">
        <v>0</v>
      </c>
      <c r="W67" s="70" t="n">
        <v>36777.74</v>
      </c>
      <c r="X67" s="42" t="n">
        <v>16742</v>
      </c>
      <c r="Y67" s="42" t="n">
        <v>37800.26000000001</v>
      </c>
      <c r="Z67" s="334" t="n">
        <v>243520</v>
      </c>
      <c r="AA67" s="495">
        <f>AA66+2</f>
        <v/>
      </c>
      <c r="AB67" s="219" t="inlineStr">
        <is>
          <t>MIGUEL SANCHEZ SANCHEZ</t>
        </is>
      </c>
      <c r="AC67" s="220" t="n"/>
      <c r="AD67" s="244" t="n"/>
      <c r="AE67" s="48" t="inlineStr">
        <is>
          <t>msanchez9337@gmail.com</t>
        </is>
      </c>
      <c r="AF67" s="222" t="inlineStr">
        <is>
          <t>MARTA AGUILAR GONZALEZ</t>
        </is>
      </c>
      <c r="AG67" s="222" t="n"/>
      <c r="AH67" s="47" t="n"/>
      <c r="AI67" s="87" t="inlineStr">
        <is>
          <t>marta.aguilargonzalez@gmail.com</t>
        </is>
      </c>
      <c r="AJ67" s="30" t="inlineStr">
        <is>
          <t>solteros</t>
        </is>
      </c>
      <c r="AK67" s="88" t="inlineStr">
        <is>
          <t>Calle Teresa Istúriz 2, 2°A, 06008 Badajoz</t>
        </is>
      </c>
      <c r="AL67" s="32" t="n"/>
      <c r="AM67" s="33" t="n"/>
      <c r="AN67" s="33" t="n"/>
      <c r="AO67" s="33" t="n"/>
      <c r="AP67" s="33" t="n"/>
      <c r="AQ67" s="33" t="n"/>
      <c r="AR67" s="33" t="n"/>
      <c r="AS67" s="33" t="n"/>
      <c r="AT67" s="33" t="n"/>
      <c r="AU67" s="33" t="n"/>
      <c r="AV67" s="33" t="n"/>
      <c r="AW67" s="33" t="n"/>
      <c r="AX67" s="33" t="n"/>
      <c r="BB67">
        <f>IF(A67="RESERVADO",S67,"LIBRE")</f>
        <v/>
      </c>
      <c r="BC67" s="218" t="n"/>
    </row>
    <row r="68" ht="14.25" customHeight="1">
      <c r="A68" s="88" t="inlineStr">
        <is>
          <t>RESERVADO</t>
        </is>
      </c>
      <c r="B68" s="420" t="n"/>
      <c r="C68" s="416" t="n">
        <v>45566</v>
      </c>
      <c r="E68" s="34" t="n">
        <v>57</v>
      </c>
      <c r="F68" s="35" t="n">
        <v>3</v>
      </c>
      <c r="G68" s="186" t="n">
        <v>1</v>
      </c>
      <c r="H68" s="100" t="inlineStr">
        <is>
          <t>C</t>
        </is>
      </c>
      <c r="I68" s="186" t="n">
        <v>4</v>
      </c>
      <c r="J68" s="186" t="n">
        <v>30</v>
      </c>
      <c r="K68" s="186" t="n">
        <v>34</v>
      </c>
      <c r="L68" s="426" t="n">
        <v>47</v>
      </c>
      <c r="M68" s="186" t="inlineStr">
        <is>
          <t>.</t>
        </is>
      </c>
      <c r="N68" s="37" t="n">
        <v>99.79000000000001</v>
      </c>
      <c r="O68" s="37" t="n">
        <v>9.23</v>
      </c>
      <c r="P68" s="37" t="n">
        <v>109.02</v>
      </c>
      <c r="Q68" s="187" t="n">
        <v>127.31</v>
      </c>
      <c r="R68" s="165" t="n"/>
      <c r="S68" s="188" t="n">
        <v>313000</v>
      </c>
      <c r="T68" s="41" t="n">
        <v>31300</v>
      </c>
      <c r="U68" s="365" t="n">
        <v>344300</v>
      </c>
      <c r="V68" s="70" t="n">
        <v>0</v>
      </c>
      <c r="W68" s="70" t="n">
        <v>37873</v>
      </c>
      <c r="X68" s="42" t="n">
        <v>30987</v>
      </c>
      <c r="Y68" s="42" t="n">
        <v>25040</v>
      </c>
      <c r="Z68" s="334" t="n">
        <v>250400</v>
      </c>
      <c r="AA68" s="495">
        <f>AA67+2</f>
        <v/>
      </c>
      <c r="AB68" s="219" t="inlineStr">
        <is>
          <t>PABLO JESUS BARAHONA DIESTRE</t>
        </is>
      </c>
      <c r="AC68" s="220" t="n"/>
      <c r="AD68" s="45" t="n"/>
      <c r="AE68" s="30" t="inlineStr">
        <is>
          <t>pablojesusbarahonadiestre@gmail.com</t>
        </is>
      </c>
      <c r="AF68" s="222" t="inlineStr">
        <is>
          <t>MARIA TERESA GARCIA GARCIA</t>
        </is>
      </c>
      <c r="AG68" s="222" t="n"/>
      <c r="AH68" s="47" t="n"/>
      <c r="AI68" s="87" t="inlineStr">
        <is>
          <t>teregg86@hotmail.com</t>
        </is>
      </c>
      <c r="AJ68" s="30" t="inlineStr">
        <is>
          <t>solteros</t>
        </is>
      </c>
      <c r="AK68" s="88" t="inlineStr">
        <is>
          <t>C/. Hernando de Soto 1, 3ºA de Badajoz</t>
        </is>
      </c>
      <c r="AL68" s="32" t="n"/>
      <c r="AM68" s="33" t="n"/>
      <c r="AN68" s="33" t="n"/>
      <c r="AO68" s="33" t="n"/>
      <c r="AP68" s="33" t="n"/>
      <c r="AQ68" s="33" t="n"/>
      <c r="AR68" s="33" t="n"/>
      <c r="AS68" s="33" t="n"/>
      <c r="AT68" s="33" t="n"/>
      <c r="AU68" s="33" t="n"/>
      <c r="AV68" s="33" t="n"/>
      <c r="AW68" s="33" t="n"/>
      <c r="AX68" s="33" t="n"/>
      <c r="BB68">
        <f>IF(A68="RESERVADO",S68,"LIBRE")</f>
        <v/>
      </c>
      <c r="BC68" s="218" t="inlineStr">
        <is>
          <t>ES40 0049 7060 7827 1001 1307</t>
        </is>
      </c>
    </row>
    <row r="69" ht="14.25" customHeight="1" thickBot="1">
      <c r="A69" s="88" t="inlineStr">
        <is>
          <t>RESERVADO</t>
        </is>
      </c>
      <c r="B69" s="420" t="n"/>
      <c r="C69" s="416" t="n">
        <v>45590</v>
      </c>
      <c r="E69" s="34" t="n">
        <v>58</v>
      </c>
      <c r="F69" s="81" t="n">
        <v>3</v>
      </c>
      <c r="G69" s="191" t="n">
        <v>1</v>
      </c>
      <c r="H69" s="82" t="inlineStr">
        <is>
          <t>D</t>
        </is>
      </c>
      <c r="I69" s="191" t="n">
        <v>3</v>
      </c>
      <c r="J69" s="191" t="n">
        <v>32</v>
      </c>
      <c r="K69" s="191" t="n">
        <v>41</v>
      </c>
      <c r="L69" s="191" t="inlineStr">
        <is>
          <t>.</t>
        </is>
      </c>
      <c r="M69" s="191" t="inlineStr">
        <is>
          <t>.</t>
        </is>
      </c>
      <c r="N69" s="141" t="n">
        <v>85.84999999999999</v>
      </c>
      <c r="O69" s="141" t="n">
        <v>7.07</v>
      </c>
      <c r="P69" s="141" t="n">
        <v>92.91999999999999</v>
      </c>
      <c r="Q69" s="192" t="n">
        <v>108.47</v>
      </c>
      <c r="R69" s="166" t="n"/>
      <c r="S69" s="56" t="n">
        <v>239500</v>
      </c>
      <c r="T69" s="104" t="n">
        <v>23950</v>
      </c>
      <c r="U69" s="366" t="n">
        <v>263450</v>
      </c>
      <c r="V69" s="96" t="n">
        <v>0</v>
      </c>
      <c r="W69" s="96" t="n">
        <v>15000</v>
      </c>
      <c r="X69" s="58" t="n">
        <v>14000</v>
      </c>
      <c r="Y69" s="58" t="n">
        <v>42850</v>
      </c>
      <c r="Z69" s="335" t="n">
        <v>191600</v>
      </c>
      <c r="AA69" s="495">
        <f>AA68+2</f>
        <v/>
      </c>
      <c r="AB69" s="219" t="inlineStr">
        <is>
          <t>ISABEL PEREZ CARVAJAL</t>
        </is>
      </c>
      <c r="AC69" s="220" t="n"/>
      <c r="AD69" s="244" t="n"/>
      <c r="AE69" s="408" t="inlineStr">
        <is>
          <t>isabelperezcarvajal@gmail.com</t>
        </is>
      </c>
      <c r="AF69" s="30" t="inlineStr">
        <is>
          <t>…............................................</t>
        </is>
      </c>
      <c r="AG69" s="30" t="n"/>
      <c r="AH69" s="47" t="n"/>
      <c r="AI69" s="87" t="inlineStr">
        <is>
          <t>…................</t>
        </is>
      </c>
      <c r="AJ69" s="30" t="inlineStr">
        <is>
          <t>divorciada</t>
        </is>
      </c>
      <c r="AK69" s="88" t="inlineStr">
        <is>
          <t>C/. De los Generosos 45, Gevora (Badajoz)</t>
        </is>
      </c>
      <c r="AL69" s="32" t="n"/>
      <c r="AM69" s="33" t="inlineStr">
        <is>
          <t>no</t>
        </is>
      </c>
      <c r="AN69" s="33" t="n">
        <v>27</v>
      </c>
      <c r="AO69" s="33" t="inlineStr">
        <is>
          <t>Medico</t>
        </is>
      </c>
      <c r="AP69" s="33" t="n"/>
      <c r="AQ69" s="33" t="n"/>
      <c r="AR69" s="33" t="n"/>
      <c r="AS69" s="33" t="n"/>
      <c r="AT69" s="33" t="n"/>
      <c r="AU69" s="33" t="n"/>
      <c r="AV69" s="33" t="n"/>
      <c r="AW69" s="33" t="n"/>
      <c r="AX69" s="33" t="n"/>
      <c r="BB69">
        <f>IF(A69="RESERVADO",S69,"LIBRE")</f>
        <v/>
      </c>
      <c r="BC69" s="218" t="inlineStr">
        <is>
          <t>ES50 3009 0088 2921 8850 5818</t>
        </is>
      </c>
    </row>
    <row r="70" ht="14.25" customHeight="1">
      <c r="A70" s="88" t="inlineStr">
        <is>
          <t>RESERVADO</t>
        </is>
      </c>
      <c r="B70" s="90" t="n"/>
      <c r="C70" s="419" t="n">
        <v>45839</v>
      </c>
      <c r="E70" s="34" t="n">
        <v>59</v>
      </c>
      <c r="F70" s="59" t="n">
        <v>3</v>
      </c>
      <c r="G70" s="194" t="n">
        <v>2</v>
      </c>
      <c r="H70" s="60" t="inlineStr">
        <is>
          <t>A</t>
        </is>
      </c>
      <c r="I70" s="194" t="n">
        <v>3</v>
      </c>
      <c r="J70" s="194" t="n">
        <v>29</v>
      </c>
      <c r="K70" s="194" t="n">
        <v>38</v>
      </c>
      <c r="L70" s="194" t="inlineStr">
        <is>
          <t>.</t>
        </is>
      </c>
      <c r="M70" s="194" t="inlineStr">
        <is>
          <t>.</t>
        </is>
      </c>
      <c r="N70" s="61" t="n">
        <v>91.13</v>
      </c>
      <c r="O70" s="61" t="n">
        <v>8.220000000000001</v>
      </c>
      <c r="P70" s="61" t="n">
        <v>99.34999999999999</v>
      </c>
      <c r="Q70" s="195" t="n">
        <v>116.44</v>
      </c>
      <c r="R70" s="196" t="n"/>
      <c r="S70" s="441" t="n">
        <v>262000</v>
      </c>
      <c r="T70" s="86" t="n">
        <v>26200</v>
      </c>
      <c r="U70" s="367" t="n">
        <v>288200</v>
      </c>
      <c r="V70" s="67" t="n">
        <v>0</v>
      </c>
      <c r="W70" s="67" t="n">
        <v>34584</v>
      </c>
      <c r="X70" s="67" t="n">
        <v>8646</v>
      </c>
      <c r="Y70" s="67" t="n">
        <v>35370</v>
      </c>
      <c r="Z70" s="336" t="n">
        <v>209600</v>
      </c>
      <c r="AA70" s="495">
        <f>AA69+2</f>
        <v/>
      </c>
      <c r="AB70" s="43" t="inlineStr">
        <is>
          <t>RICARDO ANTONIO SANCHEZ RICO</t>
        </is>
      </c>
      <c r="AC70" s="44" t="n"/>
      <c r="AD70" s="45" t="n"/>
      <c r="AE70" s="48" t="inlineStr">
        <is>
          <t>sanchez.romero.2023@gmail.com</t>
        </is>
      </c>
      <c r="AF70" s="46" t="inlineStr">
        <is>
          <t>MARIA MORENO ROMERO</t>
        </is>
      </c>
      <c r="AG70" s="30" t="n"/>
      <c r="AH70" s="47" t="n"/>
      <c r="AI70" s="87" t="n"/>
      <c r="AJ70" s="30" t="inlineStr">
        <is>
          <t>casados en separacion de bienes</t>
        </is>
      </c>
      <c r="AK70" s="443" t="inlineStr">
        <is>
          <t>Antonio de Nebrija 6A, 3ºC de Badajoz</t>
        </is>
      </c>
      <c r="AL70" s="32" t="n"/>
      <c r="AM70" s="33" t="n"/>
      <c r="AN70" s="33" t="n"/>
      <c r="AO70" s="33" t="n"/>
      <c r="AP70" s="33" t="n"/>
      <c r="AQ70" s="33" t="n"/>
      <c r="AR70" s="33" t="n"/>
      <c r="AS70" s="33" t="n"/>
      <c r="AT70" s="49" t="n"/>
      <c r="AU70" s="33" t="n"/>
      <c r="AV70" s="33" t="n"/>
      <c r="AW70" s="33" t="n"/>
      <c r="AX70" s="33" t="n"/>
      <c r="BB70">
        <f>IF(A70="RESERVADO",S70,"LIBRE")</f>
        <v/>
      </c>
      <c r="BC70" s="218" t="inlineStr">
        <is>
          <t>ES31 0182 1294 1002 0243 9783</t>
        </is>
      </c>
    </row>
    <row r="71" ht="14.25" customHeight="1">
      <c r="A71" s="88" t="inlineStr">
        <is>
          <t>RESERVADO</t>
        </is>
      </c>
      <c r="B71" s="416" t="n">
        <v>44916</v>
      </c>
      <c r="C71" s="416" t="n">
        <v>45390</v>
      </c>
      <c r="E71" s="34" t="n">
        <v>60</v>
      </c>
      <c r="F71" s="35" t="n">
        <v>3</v>
      </c>
      <c r="G71" s="186" t="n">
        <v>2</v>
      </c>
      <c r="H71" s="100" t="inlineStr">
        <is>
          <t>B</t>
        </is>
      </c>
      <c r="I71" s="186" t="n">
        <v>4</v>
      </c>
      <c r="J71" s="186" t="n">
        <v>25</v>
      </c>
      <c r="K71" s="186" t="n">
        <v>33</v>
      </c>
      <c r="L71" s="186" t="inlineStr">
        <is>
          <t>.</t>
        </is>
      </c>
      <c r="M71" s="186" t="inlineStr">
        <is>
          <t>.</t>
        </is>
      </c>
      <c r="N71" s="37" t="n">
        <v>104.43</v>
      </c>
      <c r="O71" s="37" t="n">
        <v>8.869999999999999</v>
      </c>
      <c r="P71" s="37" t="n">
        <v>113.3</v>
      </c>
      <c r="Q71" s="187" t="n">
        <v>131.83</v>
      </c>
      <c r="R71" s="187" t="n">
        <v>13.59</v>
      </c>
      <c r="S71" s="188" t="n">
        <v>286600</v>
      </c>
      <c r="T71" s="41" t="n">
        <v>28660</v>
      </c>
      <c r="U71" s="365" t="n">
        <v>315260</v>
      </c>
      <c r="V71" s="41" t="n">
        <v>9457.799999999999</v>
      </c>
      <c r="W71" s="491" t="n">
        <v>158526</v>
      </c>
      <c r="X71" s="42" t="n">
        <v>15763</v>
      </c>
      <c r="Y71" s="42" t="n">
        <v>0</v>
      </c>
      <c r="Z71" s="334" t="n">
        <v>131513.2</v>
      </c>
      <c r="AA71" s="495">
        <f>AA70+2</f>
        <v/>
      </c>
      <c r="AB71" s="43" t="inlineStr">
        <is>
          <t>JOHAN MAURICIO QUINTERO PLAZA</t>
        </is>
      </c>
      <c r="AC71" s="44" t="n"/>
      <c r="AD71" s="45" t="n"/>
      <c r="AE71" s="48" t="inlineStr">
        <is>
          <t>johanq88@gmail.com</t>
        </is>
      </c>
      <c r="AF71" s="94" t="inlineStr">
        <is>
          <t>LIDIA MORENO HERREZUELO</t>
        </is>
      </c>
      <c r="AG71" s="94" t="n"/>
      <c r="AH71" s="47" t="n"/>
      <c r="AI71" s="257" t="inlineStr">
        <is>
          <t>lidiamorenoh@yahoo.es</t>
        </is>
      </c>
      <c r="AJ71" s="30" t="inlineStr">
        <is>
          <t>casados en separación de bienes</t>
        </is>
      </c>
      <c r="AK71" s="88" t="inlineStr">
        <is>
          <t>C/. Nuño de la Cueva 12 de Badajoz</t>
        </is>
      </c>
      <c r="AL71" s="32" t="n"/>
      <c r="AM71" s="33" t="inlineStr">
        <is>
          <t>no</t>
        </is>
      </c>
      <c r="AN71" s="33" t="n">
        <v>34</v>
      </c>
      <c r="AO71" s="33" t="inlineStr">
        <is>
          <t>Ing. Electrico</t>
        </is>
      </c>
      <c r="AP71" s="33" t="n"/>
      <c r="AQ71" s="33" t="n">
        <v>36</v>
      </c>
      <c r="AR71" s="33" t="n"/>
      <c r="AS71" s="33" t="n"/>
      <c r="AT71" s="49" t="n">
        <v>0.8</v>
      </c>
      <c r="AU71" s="33" t="n"/>
      <c r="AV71" s="33" t="inlineStr">
        <is>
          <t>Reposición</t>
        </is>
      </c>
      <c r="AW71" s="33" t="inlineStr">
        <is>
          <t>Traslado</t>
        </is>
      </c>
      <c r="AX71" s="33" t="inlineStr">
        <is>
          <t>Otra localidad</t>
        </is>
      </c>
      <c r="AY71" s="224" t="inlineStr">
        <is>
          <t>quieres un 4 grande</t>
        </is>
      </c>
      <c r="AZ71" s="225" t="n"/>
      <c r="BA71" s="225" t="inlineStr">
        <is>
          <t xml:space="preserve">POSIBILIADAD 5 2ºfASE </t>
        </is>
      </c>
      <c r="BB71">
        <f>IF(A71="RESERVADO",S71,"LIBRE")</f>
        <v/>
      </c>
      <c r="BC71" s="218" t="inlineStr">
        <is>
          <t>ES59 1465 0100 9917 3352 1951</t>
        </is>
      </c>
    </row>
    <row r="72" ht="14.25" customHeight="1">
      <c r="A72" s="88" t="inlineStr">
        <is>
          <t>RESERVADO</t>
        </is>
      </c>
      <c r="B72" s="420" t="n"/>
      <c r="C72" s="416" t="n">
        <v>45460</v>
      </c>
      <c r="E72" s="34" t="n">
        <v>61</v>
      </c>
      <c r="F72" s="35" t="n">
        <v>3</v>
      </c>
      <c r="G72" s="186" t="n">
        <v>2</v>
      </c>
      <c r="H72" s="100" t="inlineStr">
        <is>
          <t>C</t>
        </is>
      </c>
      <c r="I72" s="186" t="n">
        <v>4</v>
      </c>
      <c r="J72" s="186" t="n">
        <v>24</v>
      </c>
      <c r="K72" s="186" t="n">
        <v>32</v>
      </c>
      <c r="L72" s="186" t="inlineStr">
        <is>
          <t>.</t>
        </is>
      </c>
      <c r="M72" s="186" t="inlineStr">
        <is>
          <t>.</t>
        </is>
      </c>
      <c r="N72" s="37" t="n">
        <v>99.79000000000001</v>
      </c>
      <c r="O72" s="37" t="n">
        <v>9.23</v>
      </c>
      <c r="P72" s="37" t="n">
        <v>109.02</v>
      </c>
      <c r="Q72" s="187" t="n">
        <v>127.31</v>
      </c>
      <c r="R72" s="165" t="n"/>
      <c r="S72" s="188" t="n">
        <v>295000</v>
      </c>
      <c r="T72" s="41" t="n">
        <v>29500</v>
      </c>
      <c r="U72" s="365" t="n">
        <v>324500</v>
      </c>
      <c r="V72" s="42" t="n">
        <v>0</v>
      </c>
      <c r="W72" s="236" t="n">
        <v>35695</v>
      </c>
      <c r="X72" s="42" t="n">
        <v>15413.75</v>
      </c>
      <c r="Y72" s="42" t="n">
        <v>37391.25</v>
      </c>
      <c r="Z72" s="334" t="n">
        <v>236000</v>
      </c>
      <c r="AA72" s="495">
        <f>AA71+2</f>
        <v/>
      </c>
      <c r="AB72" s="219" t="inlineStr">
        <is>
          <t>ALVARO JOSE NAVARRETE POZUECO</t>
        </is>
      </c>
      <c r="AC72" s="44" t="n"/>
      <c r="AD72" s="45" t="n"/>
      <c r="AE72" s="30" t="inlineStr">
        <is>
          <t>alvaronavarretedev@gmail.com</t>
        </is>
      </c>
      <c r="AF72" s="30" t="inlineStr">
        <is>
          <t>ANA CALDERON FERNANDEZ-SALGUERO</t>
        </is>
      </c>
      <c r="AG72" s="30" t="n"/>
      <c r="AH72" s="47" t="n"/>
      <c r="AI72" s="87" t="inlineStr">
        <is>
          <t>anacfs03@gmail.com</t>
        </is>
      </c>
      <c r="AJ72" s="30" t="inlineStr">
        <is>
          <t>solteros</t>
        </is>
      </c>
      <c r="AK72" s="88" t="inlineStr">
        <is>
          <t>C/. Arco Agüero 19, 2ºD de Badajoz</t>
        </is>
      </c>
      <c r="AL72" s="32" t="n"/>
      <c r="AM72" s="33" t="n"/>
      <c r="AN72" s="33" t="n"/>
      <c r="AO72" s="33" t="n"/>
      <c r="AP72" s="33" t="n"/>
      <c r="AQ72" s="33" t="n"/>
      <c r="AR72" s="33" t="n"/>
      <c r="AS72" s="33" t="n"/>
      <c r="AT72" s="33" t="n"/>
      <c r="AU72" s="33" t="n"/>
      <c r="AV72" s="33" t="n"/>
      <c r="AW72" s="33" t="n"/>
      <c r="AX72" s="33" t="n"/>
      <c r="BB72">
        <f>IF(A72="RESERVADO",S72,"LIBRE")</f>
        <v/>
      </c>
      <c r="BC72" s="218" t="inlineStr">
        <is>
          <t>ES41 0049 5953 2326 1619 3801</t>
        </is>
      </c>
    </row>
    <row r="73" ht="14.25" customHeight="1" thickBot="1">
      <c r="A73" s="442" t="inlineStr">
        <is>
          <t>RESERVADO</t>
        </is>
      </c>
      <c r="B73" s="99" t="n"/>
      <c r="C73" s="419" t="n">
        <v>45846</v>
      </c>
      <c r="E73" s="34" t="n">
        <v>62</v>
      </c>
      <c r="F73" s="81" t="n">
        <v>3</v>
      </c>
      <c r="G73" s="191" t="n">
        <v>2</v>
      </c>
      <c r="H73" s="82" t="inlineStr">
        <is>
          <t>D</t>
        </is>
      </c>
      <c r="I73" s="191" t="n">
        <v>3</v>
      </c>
      <c r="J73" s="191" t="n">
        <v>63</v>
      </c>
      <c r="K73" s="191" t="n">
        <v>57</v>
      </c>
      <c r="L73" s="191" t="inlineStr">
        <is>
          <t>.</t>
        </is>
      </c>
      <c r="M73" s="191" t="inlineStr">
        <is>
          <t>.</t>
        </is>
      </c>
      <c r="N73" s="141" t="n">
        <v>86.77</v>
      </c>
      <c r="O73" s="141" t="n">
        <v>7.07</v>
      </c>
      <c r="P73" s="141" t="n">
        <v>93.84</v>
      </c>
      <c r="Q73" s="192" t="n">
        <v>108.47</v>
      </c>
      <c r="R73" s="166" t="n"/>
      <c r="S73" s="436" t="n">
        <v>258000</v>
      </c>
      <c r="T73" s="104" t="n">
        <v>25800</v>
      </c>
      <c r="U73" s="366" t="n">
        <v>283800</v>
      </c>
      <c r="V73" s="58" t="n">
        <v>0</v>
      </c>
      <c r="W73" s="58" t="n">
        <v>34056</v>
      </c>
      <c r="X73" s="58" t="n">
        <v>8514</v>
      </c>
      <c r="Y73" s="58" t="n">
        <v>34830</v>
      </c>
      <c r="Z73" s="335" t="n">
        <v>206400</v>
      </c>
      <c r="AA73" s="495">
        <f>AA72+2</f>
        <v/>
      </c>
      <c r="AB73" s="43" t="inlineStr">
        <is>
          <t>RAUL AVILA GARCIA</t>
        </is>
      </c>
      <c r="AC73" s="44" t="n"/>
      <c r="AD73" s="45" t="n"/>
      <c r="AE73" s="30" t="inlineStr">
        <is>
          <t>rayul_mont_@hotmail.com</t>
        </is>
      </c>
      <c r="AF73" s="46" t="inlineStr">
        <is>
          <t>MERCEDES GRAJERA GOMEZ</t>
        </is>
      </c>
      <c r="AG73" s="46" t="n"/>
      <c r="AH73" s="47" t="n"/>
      <c r="AI73" s="87" t="n"/>
      <c r="AJ73" s="30" t="inlineStr">
        <is>
          <t>casados en separación de bienes</t>
        </is>
      </c>
      <c r="AK73" s="88" t="inlineStr">
        <is>
          <t>C/. Democracia 27 - Montijo (Badajoz)</t>
        </is>
      </c>
      <c r="AL73" s="32" t="n"/>
      <c r="AM73" s="33" t="n"/>
      <c r="AN73" s="33" t="n"/>
      <c r="AO73" s="33" t="n"/>
      <c r="AP73" s="33" t="n"/>
      <c r="AQ73" s="33" t="n"/>
      <c r="AR73" s="33" t="n"/>
      <c r="AS73" s="33" t="n"/>
      <c r="AT73" s="49" t="n"/>
      <c r="AU73" s="33" t="n"/>
      <c r="AV73" s="33" t="n"/>
      <c r="AW73" s="33" t="n"/>
      <c r="AX73" s="33" t="n"/>
      <c r="BB73">
        <f>IF(A73="RESERVADO",S73,"LIBRE")</f>
        <v/>
      </c>
      <c r="BC73" s="218" t="inlineStr">
        <is>
          <t xml:space="preserve">ES82 2100 3752 2122 0025 0040 </t>
        </is>
      </c>
    </row>
    <row r="74" ht="14.25" customHeight="1">
      <c r="A74" s="31" t="inlineStr">
        <is>
          <t>RESERVADO</t>
        </is>
      </c>
      <c r="B74" s="417" t="n">
        <v>44638</v>
      </c>
      <c r="C74" s="417" t="n">
        <v>45386</v>
      </c>
      <c r="E74" s="34" t="n">
        <v>63</v>
      </c>
      <c r="F74" s="59" t="n">
        <v>3</v>
      </c>
      <c r="G74" s="194" t="n">
        <v>3</v>
      </c>
      <c r="H74" s="60" t="inlineStr">
        <is>
          <t>A</t>
        </is>
      </c>
      <c r="I74" s="194" t="n">
        <v>3</v>
      </c>
      <c r="J74" s="194" t="n">
        <v>71</v>
      </c>
      <c r="K74" s="194" t="n">
        <v>66</v>
      </c>
      <c r="L74" s="194" t="n">
        <v>56</v>
      </c>
      <c r="M74" s="194" t="inlineStr">
        <is>
          <t>.</t>
        </is>
      </c>
      <c r="N74" s="111" t="n">
        <v>91.13</v>
      </c>
      <c r="O74" s="111" t="n">
        <v>8.69</v>
      </c>
      <c r="P74" s="111" t="n">
        <v>99.81999999999999</v>
      </c>
      <c r="Q74" s="63" t="n">
        <v>114.25</v>
      </c>
      <c r="R74" s="196" t="n"/>
      <c r="S74" s="197" t="n">
        <v>251700</v>
      </c>
      <c r="T74" s="86" t="n">
        <v>25170</v>
      </c>
      <c r="U74" s="367" t="n">
        <v>276870</v>
      </c>
      <c r="V74" s="86" t="n">
        <v>13843.5</v>
      </c>
      <c r="W74" s="97" t="n">
        <v>27687</v>
      </c>
      <c r="X74" s="67" t="n">
        <v>13843.5</v>
      </c>
      <c r="Y74" s="67" t="n">
        <v>20136</v>
      </c>
      <c r="Z74" s="336" t="n">
        <v>201360</v>
      </c>
      <c r="AA74" s="495">
        <f>AA73+2</f>
        <v/>
      </c>
      <c r="AB74" s="43" t="inlineStr">
        <is>
          <t>ALBERTO FERNANDEZ PARRAL</t>
        </is>
      </c>
      <c r="AC74" s="44" t="n"/>
      <c r="AD74" s="45" t="n"/>
      <c r="AE74" s="30" t="inlineStr">
        <is>
          <t>afp1982@hotmail.com</t>
        </is>
      </c>
      <c r="AF74" s="46" t="inlineStr">
        <is>
          <t>ESTHER RODRIGUEZ GORDO</t>
        </is>
      </c>
      <c r="AG74" s="46" t="n"/>
      <c r="AH74" s="47" t="n"/>
      <c r="AI74" s="87" t="inlineStr">
        <is>
          <t>esther.rg82@gmail.com</t>
        </is>
      </c>
      <c r="AJ74" s="30" t="inlineStr">
        <is>
          <t>casados</t>
        </is>
      </c>
      <c r="AK74" s="88" t="inlineStr">
        <is>
          <t>Calle Julio Cienfuegos Linares n° 15, 1° B.</t>
        </is>
      </c>
      <c r="AL74" s="32" t="n"/>
      <c r="AM74" s="33" t="inlineStr">
        <is>
          <t>hijos</t>
        </is>
      </c>
      <c r="AN74" s="33" t="n">
        <v>40</v>
      </c>
      <c r="AO74" s="33" t="inlineStr">
        <is>
          <t>Admnistrativo</t>
        </is>
      </c>
      <c r="AP74" s="33" t="n">
        <v>1200</v>
      </c>
      <c r="AQ74" s="33" t="n">
        <v>40</v>
      </c>
      <c r="AR74" s="33" t="inlineStr">
        <is>
          <t>Profesora</t>
        </is>
      </c>
      <c r="AS74" s="33" t="n">
        <v>2000</v>
      </c>
      <c r="AT74" s="33" t="n">
        <v>80</v>
      </c>
      <c r="AU74" s="33" t="inlineStr">
        <is>
          <t>no</t>
        </is>
      </c>
      <c r="AV74" s="33" t="inlineStr">
        <is>
          <t>1ª Vivienda</t>
        </is>
      </c>
      <c r="AW74" s="33" t="n"/>
      <c r="AX74" s="33" t="inlineStr">
        <is>
          <t>Av.Elvas/Jardines</t>
        </is>
      </c>
      <c r="BB74">
        <f>IF(A74="RESERVADO",S74,"LIBRE")</f>
        <v/>
      </c>
      <c r="BC74" s="218" t="inlineStr">
        <is>
          <t>ES69 1465 0100 9717 1924 2693</t>
        </is>
      </c>
    </row>
    <row r="75" ht="14.25" customHeight="1">
      <c r="A75" s="31" t="inlineStr">
        <is>
          <t>RESERVADO</t>
        </is>
      </c>
      <c r="B75" s="417" t="n">
        <v>45310</v>
      </c>
      <c r="C75" s="417" t="n">
        <v>45411</v>
      </c>
      <c r="D75" s="353" t="n"/>
      <c r="E75" s="34" t="n">
        <v>64</v>
      </c>
      <c r="F75" s="35" t="n">
        <v>3</v>
      </c>
      <c r="G75" s="186" t="n">
        <v>3</v>
      </c>
      <c r="H75" s="100" t="inlineStr">
        <is>
          <t>B</t>
        </is>
      </c>
      <c r="I75" s="186" t="n">
        <v>4</v>
      </c>
      <c r="J75" s="186" t="n">
        <v>70</v>
      </c>
      <c r="K75" s="186" t="n">
        <v>65</v>
      </c>
      <c r="L75" s="186" t="inlineStr">
        <is>
          <t>.</t>
        </is>
      </c>
      <c r="M75" s="186" t="inlineStr">
        <is>
          <t>.</t>
        </is>
      </c>
      <c r="N75" s="71" t="n">
        <v>104.43</v>
      </c>
      <c r="O75" s="71" t="n">
        <v>8.56</v>
      </c>
      <c r="P75" s="71" t="n">
        <v>112.99</v>
      </c>
      <c r="Q75" s="52" t="n">
        <v>131.83</v>
      </c>
      <c r="R75" s="165" t="n"/>
      <c r="S75" s="188" t="n">
        <v>303400</v>
      </c>
      <c r="T75" s="41" t="n">
        <v>30340</v>
      </c>
      <c r="U75" s="365" t="n">
        <v>333740</v>
      </c>
      <c r="V75" s="70" t="n">
        <v>10012.2</v>
      </c>
      <c r="W75" s="42" t="n">
        <v>33374</v>
      </c>
      <c r="X75" s="42" t="n">
        <v>10012.2</v>
      </c>
      <c r="Y75" s="42" t="n">
        <v>37621.59999999998</v>
      </c>
      <c r="Z75" s="334" t="n">
        <v>242720</v>
      </c>
      <c r="AA75" s="495">
        <f>AA74+2</f>
        <v/>
      </c>
      <c r="AB75" s="222" t="inlineStr">
        <is>
          <t>MARIA GARRIDO ALVAREZ</t>
        </is>
      </c>
      <c r="AC75" s="222" t="n"/>
      <c r="AD75" s="45" t="n"/>
      <c r="AE75" s="30" t="inlineStr">
        <is>
          <t>m.garrido84@hotmail.com</t>
        </is>
      </c>
      <c r="AF75" s="222" t="inlineStr">
        <is>
          <t>JAVIER ESPINO PALMA</t>
        </is>
      </c>
      <c r="AG75" s="222" t="n"/>
      <c r="AH75" s="47" t="n"/>
      <c r="AI75" s="87" t="n"/>
      <c r="AJ75" s="30" t="inlineStr">
        <is>
          <t>CASADOS</t>
        </is>
      </c>
      <c r="AK75" s="88" t="inlineStr">
        <is>
          <t>Av. Sinforiano Madroñero 32, 7º A de Badajoz</t>
        </is>
      </c>
      <c r="AL75" s="32" t="n"/>
      <c r="AM75" s="33" t="n"/>
      <c r="AN75" s="33" t="n"/>
      <c r="AO75" s="33" t="n"/>
      <c r="AP75" s="33" t="n"/>
      <c r="AQ75" s="33" t="n"/>
      <c r="AR75" s="33" t="n"/>
      <c r="AS75" s="33" t="n"/>
      <c r="AT75" s="33" t="n"/>
      <c r="AU75" s="33" t="n"/>
      <c r="AV75" s="33" t="n"/>
      <c r="AW75" s="33" t="n"/>
      <c r="AX75" s="33" t="n"/>
      <c r="BB75">
        <f>IF(A75="RESERVADO",S75,"LIBRE")</f>
        <v/>
      </c>
      <c r="BC75" s="218" t="inlineStr">
        <is>
          <t>ES69 0182 1508 5202 0159 9028</t>
        </is>
      </c>
    </row>
    <row r="76" ht="14.25" customHeight="1">
      <c r="A76" s="31" t="inlineStr">
        <is>
          <t>RESERVADO</t>
        </is>
      </c>
      <c r="B76" s="417" t="n">
        <v>44720</v>
      </c>
      <c r="C76" s="417" t="n">
        <v>45383</v>
      </c>
      <c r="E76" s="34" t="n">
        <v>65</v>
      </c>
      <c r="F76" s="35" t="n">
        <v>3</v>
      </c>
      <c r="G76" s="186" t="n">
        <v>3</v>
      </c>
      <c r="H76" s="100" t="inlineStr">
        <is>
          <t>C</t>
        </is>
      </c>
      <c r="I76" s="186" t="n">
        <v>4</v>
      </c>
      <c r="J76" s="186" t="n">
        <v>69</v>
      </c>
      <c r="K76" s="186" t="n">
        <v>64</v>
      </c>
      <c r="L76" s="186" t="inlineStr">
        <is>
          <t>.</t>
        </is>
      </c>
      <c r="M76" s="186" t="inlineStr">
        <is>
          <t>.</t>
        </is>
      </c>
      <c r="N76" s="71" t="n">
        <v>99.79000000000001</v>
      </c>
      <c r="O76" s="71" t="n">
        <v>9.23</v>
      </c>
      <c r="P76" s="71" t="n">
        <v>109.02</v>
      </c>
      <c r="Q76" s="52" t="n">
        <v>127.31</v>
      </c>
      <c r="R76" s="165" t="n"/>
      <c r="S76" s="188" t="n">
        <v>275400</v>
      </c>
      <c r="T76" s="41" t="n">
        <v>27540</v>
      </c>
      <c r="U76" s="365" t="n">
        <v>302940</v>
      </c>
      <c r="V76" s="70" t="n">
        <v>15147</v>
      </c>
      <c r="W76" s="70" t="n">
        <v>30294</v>
      </c>
      <c r="X76" s="42" t="n">
        <v>15147</v>
      </c>
      <c r="Y76" s="42" t="n">
        <v>22032</v>
      </c>
      <c r="Z76" s="334" t="n">
        <v>220320</v>
      </c>
      <c r="AA76" s="495">
        <f>AA75+2</f>
        <v/>
      </c>
      <c r="AB76" s="43" t="inlineStr">
        <is>
          <t>AURELIO COLLADO BARRAGAN</t>
        </is>
      </c>
      <c r="AC76" s="44" t="n"/>
      <c r="AD76" s="45" t="n"/>
      <c r="AE76" s="30" t="inlineStr">
        <is>
          <t>aureliocolladobarragan@yahoo.es</t>
        </is>
      </c>
      <c r="AF76" s="46" t="inlineStr">
        <is>
          <t>MARIA ELENA AREVALO MUÑOZ</t>
        </is>
      </c>
      <c r="AG76" s="46" t="n"/>
      <c r="AH76" s="47" t="n"/>
      <c r="AI76" s="87" t="inlineStr">
        <is>
          <t>elena.arevalo67@yahoo.es</t>
        </is>
      </c>
      <c r="AJ76" s="30" t="inlineStr">
        <is>
          <t>casados</t>
        </is>
      </c>
      <c r="AK76" s="88" t="inlineStr">
        <is>
          <t>C/. Castillo de Magacela, 24 de Badajoz</t>
        </is>
      </c>
      <c r="AL76" s="32" t="n"/>
      <c r="AM76" s="33" t="inlineStr">
        <is>
          <t>no</t>
        </is>
      </c>
      <c r="AN76" s="33" t="n">
        <v>57</v>
      </c>
      <c r="AO76" s="33" t="inlineStr">
        <is>
          <t>Administrativo</t>
        </is>
      </c>
      <c r="AP76" s="33" t="n"/>
      <c r="AQ76" s="33" t="n">
        <v>55</v>
      </c>
      <c r="AR76" s="33" t="inlineStr">
        <is>
          <t>Funcionario</t>
        </is>
      </c>
      <c r="AS76" s="33" t="n"/>
      <c r="AT76" s="33" t="inlineStr">
        <is>
          <t>n/d</t>
        </is>
      </c>
      <c r="AU76" s="33" t="n"/>
      <c r="AV76" s="33" t="inlineStr">
        <is>
          <t>Reposición</t>
        </is>
      </c>
      <c r="AW76" s="33" t="n"/>
      <c r="AX76" s="33" t="inlineStr">
        <is>
          <t>U. Guadiana</t>
        </is>
      </c>
      <c r="BB76">
        <f>IF(A76="RESERVADO",S76,"LIBRE")</f>
        <v/>
      </c>
      <c r="BC76" s="218" t="inlineStr">
        <is>
          <t>ES43 0128 0060 5501 0307 8574</t>
        </is>
      </c>
    </row>
    <row r="77" ht="15" customHeight="1" thickBot="1">
      <c r="A77" s="31" t="inlineStr">
        <is>
          <t>RESERVADO</t>
        </is>
      </c>
      <c r="B77" s="33" t="n"/>
      <c r="C77" s="417" t="n">
        <v>45422</v>
      </c>
      <c r="E77" s="200" t="n">
        <v>66</v>
      </c>
      <c r="F77" s="201" t="n">
        <v>3</v>
      </c>
      <c r="G77" s="202" t="n">
        <v>3</v>
      </c>
      <c r="H77" s="203" t="inlineStr">
        <is>
          <t>D</t>
        </is>
      </c>
      <c r="I77" s="202" t="n">
        <v>3</v>
      </c>
      <c r="J77" s="202" t="n">
        <v>26</v>
      </c>
      <c r="K77" s="202" t="n">
        <v>35</v>
      </c>
      <c r="L77" s="202" t="inlineStr">
        <is>
          <t>.</t>
        </is>
      </c>
      <c r="M77" s="202" t="inlineStr">
        <is>
          <t>.</t>
        </is>
      </c>
      <c r="N77" s="177" t="n">
        <v>86.77</v>
      </c>
      <c r="O77" s="177" t="n">
        <v>7.07</v>
      </c>
      <c r="P77" s="177" t="n">
        <v>93.84</v>
      </c>
      <c r="Q77" s="204" t="n">
        <v>108.47</v>
      </c>
      <c r="R77" s="179" t="n"/>
      <c r="S77" s="205" t="n">
        <v>243500</v>
      </c>
      <c r="T77" s="357" t="n">
        <v>24350</v>
      </c>
      <c r="U77" s="368" t="n">
        <v>267850</v>
      </c>
      <c r="V77" s="120" t="n">
        <v>0</v>
      </c>
      <c r="W77" s="120" t="n">
        <v>29463.5</v>
      </c>
      <c r="X77" s="120" t="n">
        <v>13392.6</v>
      </c>
      <c r="Y77" s="120" t="n">
        <v>30193.89999999999</v>
      </c>
      <c r="Z77" s="337" t="n">
        <v>194800</v>
      </c>
      <c r="AA77" s="495" t="inlineStr">
        <is>
          <t>   </t>
        </is>
      </c>
      <c r="AB77" s="258" t="inlineStr">
        <is>
          <t>EMILIO BENITEZ ACEDO</t>
        </is>
      </c>
      <c r="AC77" s="206" t="n"/>
      <c r="AD77" s="207" t="n"/>
      <c r="AE77" s="208" t="inlineStr">
        <is>
          <t>emilioj_22@hotmail.com</t>
        </is>
      </c>
      <c r="AF77" s="209" t="inlineStr">
        <is>
          <t>MARIA ALMEIDA GONZALEZ</t>
        </is>
      </c>
      <c r="AG77" s="209" t="n"/>
      <c r="AH77" s="210" t="n"/>
      <c r="AI77" s="379" t="inlineStr">
        <is>
          <t>Malmeidag91@gmail.com</t>
        </is>
      </c>
      <c r="AJ77" s="30" t="inlineStr">
        <is>
          <t>solteros</t>
        </is>
      </c>
      <c r="AK77" s="88" t="inlineStr">
        <is>
          <t>C/. Pintor Barjola 29, 2ºB de Badajoz</t>
        </is>
      </c>
      <c r="AL77" s="32" t="n"/>
      <c r="AM77" s="33" t="n"/>
      <c r="AN77" s="33" t="n"/>
      <c r="AO77" s="33" t="n"/>
      <c r="AP77" s="33" t="n"/>
      <c r="AQ77" s="33" t="n"/>
      <c r="AR77" s="33" t="n"/>
      <c r="AS77" s="33" t="n"/>
      <c r="AT77" s="49" t="n"/>
      <c r="AU77" s="33" t="n"/>
      <c r="AV77" s="33" t="n"/>
      <c r="AW77" s="33" t="n"/>
      <c r="AX77" s="33" t="n"/>
      <c r="BB77">
        <f>IF(A77="RESERVADO",S77,"LIBRE")</f>
        <v/>
      </c>
      <c r="BC77" s="218" t="inlineStr">
        <is>
          <t>ES23 0182 2874 0602 0161 3253</t>
        </is>
      </c>
    </row>
    <row r="78">
      <c r="I78" s="5" t="n"/>
      <c r="J78" s="5" t="n"/>
      <c r="K78" s="5" t="n"/>
      <c r="L78" s="5" t="n"/>
      <c r="M78" s="5" t="n"/>
      <c r="N78" s="5" t="n"/>
      <c r="Q78" s="212" t="inlineStr">
        <is>
          <t>Montante origen</t>
        </is>
      </c>
      <c r="R78" s="213" t="n"/>
      <c r="S78" s="214" t="n">
        <v>15529500</v>
      </c>
      <c r="T78" s="362" t="n"/>
      <c r="U78" s="216" t="n"/>
      <c r="V78" s="215" t="n"/>
      <c r="W78" s="216" t="n"/>
      <c r="X78" s="216" t="n"/>
      <c r="Y78" s="216" t="n"/>
      <c r="Z78" s="216" t="n"/>
      <c r="AA78" s="216" t="n"/>
    </row>
    <row r="79">
      <c r="I79" s="5" t="n"/>
      <c r="J79" s="5" t="n"/>
      <c r="K79" s="5" t="n"/>
      <c r="L79" s="5" t="n"/>
      <c r="M79" s="5" t="n"/>
      <c r="N79" s="5" t="n"/>
      <c r="R79" s="217" t="n"/>
      <c r="S79" s="5" t="n"/>
      <c r="T79" s="363" t="n"/>
    </row>
  </sheetData>
  <autoFilter ref="A11:AK77"/>
  <mergeCells count="28">
    <mergeCell ref="Y9:Y10"/>
    <mergeCell ref="F9:I9"/>
    <mergeCell ref="AA9:AA10"/>
    <mergeCell ref="P9:P10"/>
    <mergeCell ref="V8:Z8"/>
    <mergeCell ref="T9:T10"/>
    <mergeCell ref="E9:E10"/>
    <mergeCell ref="V9:V10"/>
    <mergeCell ref="A1:Z3"/>
    <mergeCell ref="AM8:AX9"/>
    <mergeCell ref="Q9:Q10"/>
    <mergeCell ref="S9:S10"/>
    <mergeCell ref="Q4:R4"/>
    <mergeCell ref="AB8:AK9"/>
    <mergeCell ref="B5:D5"/>
    <mergeCell ref="W9:W10"/>
    <mergeCell ref="J9:M9"/>
    <mergeCell ref="N9:N10"/>
    <mergeCell ref="E5:Z5"/>
    <mergeCell ref="AV10:AW10"/>
    <mergeCell ref="X9:X10"/>
    <mergeCell ref="R9:R10"/>
    <mergeCell ref="Z9:Z10"/>
    <mergeCell ref="O9:O10"/>
    <mergeCell ref="A8:C9"/>
    <mergeCell ref="U9:U10"/>
    <mergeCell ref="E8:M8"/>
    <mergeCell ref="S8:U8"/>
  </mergeCells>
  <conditionalFormatting sqref="A6">
    <cfRule type="duplicateValues" priority="169" dxfId="6"/>
    <cfRule type="duplicateValues" priority="170" dxfId="5"/>
  </conditionalFormatting>
  <conditionalFormatting sqref="J6:J13 J15:J20 J22:J25 J27:J1048576 L4 L6:L13 L15:L1048576">
    <cfRule type="duplicateValues" priority="15" dxfId="6"/>
  </conditionalFormatting>
  <conditionalFormatting sqref="J12:J13 J15:J20 J22:J25 J27:J33 J35:J51 J53:J56 J58:J79">
    <cfRule type="duplicateValues" priority="187" dxfId="1"/>
  </conditionalFormatting>
  <conditionalFormatting sqref="J12:J13 J15:J20 J22:J25 J27:J33 J35:J77">
    <cfRule type="duplicateValues" priority="182" dxfId="13"/>
  </conditionalFormatting>
  <conditionalFormatting sqref="J34">
    <cfRule type="duplicateValues" priority="21" dxfId="13"/>
    <cfRule type="duplicateValues" priority="22" dxfId="1"/>
  </conditionalFormatting>
  <conditionalFormatting sqref="J52">
    <cfRule type="duplicateValues" priority="24" dxfId="1"/>
  </conditionalFormatting>
  <conditionalFormatting sqref="J57">
    <cfRule type="duplicateValues" priority="1" dxfId="1"/>
  </conditionalFormatting>
  <conditionalFormatting sqref="K21">
    <cfRule type="duplicateValues" priority="4" dxfId="6"/>
  </conditionalFormatting>
  <conditionalFormatting sqref="K4 K6:K20 K22:K25 K27:K1048576">
    <cfRule type="duplicateValues" priority="5" dxfId="1"/>
  </conditionalFormatting>
  <conditionalFormatting sqref="K6:K11 K78:K1048576">
    <cfRule type="duplicateValues" priority="201" dxfId="1"/>
  </conditionalFormatting>
  <conditionalFormatting sqref="K78:N79 M12:M13 M15:M33 M35:M51 M53:M77">
    <cfRule type="duplicateValues" priority="204" dxfId="1"/>
  </conditionalFormatting>
  <conditionalFormatting sqref="L14">
    <cfRule type="duplicateValues" priority="13" dxfId="6"/>
  </conditionalFormatting>
  <conditionalFormatting sqref="J6:J13 J15:J20 J22:J25 J27:J1048576 L4 L6:L11 L78:L1048576">
    <cfRule type="duplicateValues" priority="209" dxfId="5"/>
  </conditionalFormatting>
  <conditionalFormatting sqref="M14">
    <cfRule type="duplicateValues" priority="40" dxfId="1"/>
  </conditionalFormatting>
  <conditionalFormatting sqref="M34">
    <cfRule type="duplicateValues" priority="51" dxfId="1"/>
  </conditionalFormatting>
  <conditionalFormatting sqref="M52">
    <cfRule type="duplicateValues" priority="41" dxfId="1"/>
  </conditionalFormatting>
  <conditionalFormatting sqref="Q25">
    <cfRule type="duplicateValues" priority="23" dxfId="1"/>
  </conditionalFormatting>
  <hyperlinks>
    <hyperlink xmlns:r="http://schemas.openxmlformats.org/officeDocument/2006/relationships" ref="AE13" r:id="rId1"/>
    <hyperlink xmlns:r="http://schemas.openxmlformats.org/officeDocument/2006/relationships" ref="AI13" r:id="rId2"/>
    <hyperlink xmlns:r="http://schemas.openxmlformats.org/officeDocument/2006/relationships" ref="AE15" r:id="rId3"/>
    <hyperlink xmlns:r="http://schemas.openxmlformats.org/officeDocument/2006/relationships" ref="AE19" r:id="rId4"/>
    <hyperlink xmlns:r="http://schemas.openxmlformats.org/officeDocument/2006/relationships" ref="AI19" r:id="rId5"/>
    <hyperlink xmlns:r="http://schemas.openxmlformats.org/officeDocument/2006/relationships" ref="AE20" r:id="rId6"/>
    <hyperlink xmlns:r="http://schemas.openxmlformats.org/officeDocument/2006/relationships" ref="AE21" r:id="rId7"/>
    <hyperlink xmlns:r="http://schemas.openxmlformats.org/officeDocument/2006/relationships" ref="AE24" r:id="rId8"/>
    <hyperlink xmlns:r="http://schemas.openxmlformats.org/officeDocument/2006/relationships" ref="AI24" r:id="rId9"/>
    <hyperlink xmlns:r="http://schemas.openxmlformats.org/officeDocument/2006/relationships" ref="AE26" r:id="rId10"/>
    <hyperlink xmlns:r="http://schemas.openxmlformats.org/officeDocument/2006/relationships" ref="AE27" r:id="rId11"/>
    <hyperlink xmlns:r="http://schemas.openxmlformats.org/officeDocument/2006/relationships" ref="AE29" r:id="rId12"/>
    <hyperlink xmlns:r="http://schemas.openxmlformats.org/officeDocument/2006/relationships" ref="AE30" r:id="rId13"/>
    <hyperlink xmlns:r="http://schemas.openxmlformats.org/officeDocument/2006/relationships" ref="AE31" r:id="rId14"/>
    <hyperlink xmlns:r="http://schemas.openxmlformats.org/officeDocument/2006/relationships" ref="AE32" r:id="rId15"/>
    <hyperlink xmlns:r="http://schemas.openxmlformats.org/officeDocument/2006/relationships" ref="AE33" r:id="rId16"/>
    <hyperlink xmlns:r="http://schemas.openxmlformats.org/officeDocument/2006/relationships" ref="AE34" r:id="rId17"/>
    <hyperlink xmlns:r="http://schemas.openxmlformats.org/officeDocument/2006/relationships" ref="AE36" r:id="rId18"/>
    <hyperlink xmlns:r="http://schemas.openxmlformats.org/officeDocument/2006/relationships" ref="AE38" r:id="rId19"/>
    <hyperlink xmlns:r="http://schemas.openxmlformats.org/officeDocument/2006/relationships" ref="AE41" r:id="rId20"/>
    <hyperlink xmlns:r="http://schemas.openxmlformats.org/officeDocument/2006/relationships" ref="AI41" r:id="rId21"/>
    <hyperlink xmlns:r="http://schemas.openxmlformats.org/officeDocument/2006/relationships" ref="AE44" r:id="rId22"/>
    <hyperlink xmlns:r="http://schemas.openxmlformats.org/officeDocument/2006/relationships" ref="AI44" r:id="rId23"/>
    <hyperlink xmlns:r="http://schemas.openxmlformats.org/officeDocument/2006/relationships" ref="AE46" r:id="rId24"/>
    <hyperlink xmlns:r="http://schemas.openxmlformats.org/officeDocument/2006/relationships" ref="AE47" display="antoniogranerovazquez@outlook.com" r:id="rId25"/>
    <hyperlink xmlns:r="http://schemas.openxmlformats.org/officeDocument/2006/relationships" ref="AE48" r:id="rId26"/>
    <hyperlink xmlns:r="http://schemas.openxmlformats.org/officeDocument/2006/relationships" ref="AI48" r:id="rId27"/>
    <hyperlink xmlns:r="http://schemas.openxmlformats.org/officeDocument/2006/relationships" ref="AE50" r:id="rId28"/>
    <hyperlink xmlns:r="http://schemas.openxmlformats.org/officeDocument/2006/relationships" ref="AE51" r:id="rId29"/>
    <hyperlink xmlns:r="http://schemas.openxmlformats.org/officeDocument/2006/relationships" ref="AI52" r:id="rId30"/>
    <hyperlink xmlns:r="http://schemas.openxmlformats.org/officeDocument/2006/relationships" ref="AI53" r:id="rId31"/>
    <hyperlink xmlns:r="http://schemas.openxmlformats.org/officeDocument/2006/relationships" ref="AE56" r:id="rId32"/>
    <hyperlink xmlns:r="http://schemas.openxmlformats.org/officeDocument/2006/relationships" ref="AE58" r:id="rId33"/>
    <hyperlink xmlns:r="http://schemas.openxmlformats.org/officeDocument/2006/relationships" ref="AI58" r:id="rId34"/>
    <hyperlink xmlns:r="http://schemas.openxmlformats.org/officeDocument/2006/relationships" ref="AE59" r:id="rId35"/>
    <hyperlink xmlns:r="http://schemas.openxmlformats.org/officeDocument/2006/relationships" ref="AE64" r:id="rId36"/>
    <hyperlink xmlns:r="http://schemas.openxmlformats.org/officeDocument/2006/relationships" ref="AI64" r:id="rId37"/>
    <hyperlink xmlns:r="http://schemas.openxmlformats.org/officeDocument/2006/relationships" ref="AI65" r:id="rId38"/>
    <hyperlink xmlns:r="http://schemas.openxmlformats.org/officeDocument/2006/relationships" ref="AE66" r:id="rId39"/>
    <hyperlink xmlns:r="http://schemas.openxmlformats.org/officeDocument/2006/relationships" ref="AI66" r:id="rId40"/>
    <hyperlink xmlns:r="http://schemas.openxmlformats.org/officeDocument/2006/relationships" ref="AE67" r:id="rId41"/>
    <hyperlink xmlns:r="http://schemas.openxmlformats.org/officeDocument/2006/relationships" ref="AE69" r:id="rId42"/>
    <hyperlink xmlns:r="http://schemas.openxmlformats.org/officeDocument/2006/relationships" ref="AE71" r:id="rId43"/>
    <hyperlink xmlns:r="http://schemas.openxmlformats.org/officeDocument/2006/relationships" ref="AI71" r:id="rId44"/>
    <hyperlink xmlns:r="http://schemas.openxmlformats.org/officeDocument/2006/relationships" ref="AE76" r:id="rId45"/>
    <hyperlink xmlns:r="http://schemas.openxmlformats.org/officeDocument/2006/relationships" ref="AI76" r:id="rId46"/>
  </hyperlinks>
  <pageMargins left="0.7" right="0.7" top="0.75" bottom="0.75" header="0.511811023622047" footer="0.511811023622047"/>
  <pageSetup orientation="portrait" paperSize="8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5"/>
  <sheetViews>
    <sheetView showGridLines="0" tabSelected="1" topLeftCell="H1" workbookViewId="0">
      <pane ySplit="7" topLeftCell="A76" activePane="bottomLeft" state="frozen"/>
      <selection pane="bottomLeft" activeCell="T16" sqref="T16"/>
    </sheetView>
  </sheetViews>
  <sheetFormatPr baseColWidth="10" defaultColWidth="10.7109375" defaultRowHeight="15"/>
  <cols>
    <col width="9.28515625" customWidth="1" min="2" max="2"/>
    <col width="7.5703125" customWidth="1" min="3" max="3"/>
    <col width="6.85546875" customWidth="1" min="4" max="4"/>
    <col width="7.7109375" customWidth="1" min="5" max="5"/>
    <col width="37.7109375" customWidth="1" style="4" min="6" max="6"/>
    <col width="11.42578125" customWidth="1" min="7" max="7"/>
    <col width="11.42578125" customWidth="1" style="2" min="8" max="8"/>
    <col width="11.42578125" customWidth="1" style="395" min="9" max="9"/>
    <col width="11.42578125" customWidth="1" style="2" min="10" max="11"/>
    <col width="11.42578125" customWidth="1" style="287" min="12" max="12"/>
    <col width="16.42578125" customWidth="1" style="327" min="13" max="14"/>
    <col width="13.140625" customWidth="1" style="327" min="15" max="18"/>
  </cols>
  <sheetData>
    <row r="1" ht="18.75" customHeight="1">
      <c r="B1" s="523" t="inlineStr">
        <is>
          <t xml:space="preserve">IMPORTES MEJORAS      </t>
        </is>
      </c>
      <c r="N1" s="525" t="n"/>
      <c r="O1" s="525" t="n"/>
      <c r="P1" s="525" t="n"/>
      <c r="Q1" s="525" t="n"/>
      <c r="R1" s="525" t="n"/>
    </row>
    <row r="2" ht="18.75" customHeight="1">
      <c r="O2" s="525" t="n"/>
      <c r="P2" s="525" t="n"/>
      <c r="Q2" s="525" t="n"/>
      <c r="R2" s="525" t="n"/>
    </row>
    <row r="3" ht="18.75" customHeight="1">
      <c r="O3" s="525" t="n"/>
      <c r="P3" s="525" t="n"/>
      <c r="Q3" s="525" t="n"/>
      <c r="R3" s="525" t="n"/>
    </row>
    <row r="4" ht="18.75" customHeight="1">
      <c r="O4" s="525" t="n"/>
      <c r="P4" s="525" t="n"/>
      <c r="Q4" s="525" t="n"/>
      <c r="R4" s="525" t="n"/>
    </row>
    <row r="6" ht="15" customHeight="1">
      <c r="B6" s="541" t="inlineStr">
        <is>
          <t>Nº  Orden</t>
        </is>
      </c>
      <c r="C6" s="501" t="inlineStr">
        <is>
          <t>VIVIENDA</t>
        </is>
      </c>
      <c r="D6" s="577" t="n"/>
      <c r="E6" s="578" t="n"/>
      <c r="F6" s="541" t="inlineStr">
        <is>
          <t>TITULAR 1</t>
        </is>
      </c>
      <c r="G6" s="503" t="inlineStr">
        <is>
          <t xml:space="preserve">PRECIO </t>
        </is>
      </c>
      <c r="H6" s="577" t="n"/>
      <c r="I6" s="578" t="n"/>
      <c r="J6" s="519" t="inlineStr">
        <is>
          <t>FORMA DE PAGO ESTANDAR (IVA inlcuido)</t>
        </is>
      </c>
      <c r="K6" s="577" t="n"/>
      <c r="L6" s="577" t="n"/>
      <c r="M6" s="577" t="n"/>
      <c r="N6" s="497" t="inlineStr">
        <is>
          <t>PORCELANICO</t>
        </is>
      </c>
      <c r="O6" s="585" t="inlineStr">
        <is>
          <t>IVA PORCELÁNICO</t>
        </is>
      </c>
      <c r="P6" s="585" t="inlineStr">
        <is>
          <t>TOTAL PORCELÁNICO</t>
        </is>
      </c>
      <c r="Q6" s="586" t="inlineStr">
        <is>
          <t>TOTAL IMPORTE MEJORAS (SIN IVA)</t>
        </is>
      </c>
      <c r="R6" s="586" t="inlineStr">
        <is>
          <t>TOTAL IMPORTE MEJORAS (CON IVA)</t>
        </is>
      </c>
    </row>
    <row r="7" ht="30" customFormat="1" customHeight="1" s="12">
      <c r="B7" s="584" t="n"/>
      <c r="C7" s="541" t="inlineStr">
        <is>
          <t>PORTAL</t>
        </is>
      </c>
      <c r="D7" s="541" t="inlineStr">
        <is>
          <t>PLANTA</t>
        </is>
      </c>
      <c r="E7" s="541" t="inlineStr">
        <is>
          <t>LETRA</t>
        </is>
      </c>
      <c r="F7" s="584" t="n"/>
      <c r="G7" s="234" t="inlineStr">
        <is>
          <t>Neto</t>
        </is>
      </c>
      <c r="H7" s="234" t="inlineStr">
        <is>
          <t>IVA</t>
        </is>
      </c>
      <c r="I7" s="394" t="inlineStr">
        <is>
          <t>TOTAL 1</t>
        </is>
      </c>
      <c r="J7" s="235" t="inlineStr">
        <is>
          <t>PAGO INICIAL</t>
        </is>
      </c>
      <c r="K7" s="235" t="inlineStr">
        <is>
          <t>Resto</t>
        </is>
      </c>
      <c r="L7" s="503" t="inlineStr">
        <is>
          <t>nº pagos</t>
        </is>
      </c>
      <c r="M7" s="383" t="inlineStr">
        <is>
          <t>importe individual pagos</t>
        </is>
      </c>
      <c r="N7" s="584" t="n"/>
      <c r="O7" s="584" t="n"/>
      <c r="P7" s="584" t="n"/>
      <c r="Q7" s="584" t="n"/>
      <c r="R7" s="584" t="n"/>
    </row>
    <row r="8" ht="15.75" customHeight="1" thickBot="1">
      <c r="G8" s="2" t="n"/>
      <c r="J8" s="1" t="n"/>
      <c r="K8" s="1" t="n"/>
      <c r="Q8" s="554" t="n"/>
      <c r="R8" s="554" t="n"/>
    </row>
    <row r="9" ht="14.25" customHeight="1" thickBot="1">
      <c r="B9" s="238" t="n">
        <v>1</v>
      </c>
      <c r="C9" s="17" t="n">
        <v>1</v>
      </c>
      <c r="D9" s="18" t="inlineStr">
        <is>
          <t>BAJA</t>
        </is>
      </c>
      <c r="E9" s="18" t="inlineStr">
        <is>
          <t>A</t>
        </is>
      </c>
      <c r="F9" s="266">
        <f>+'SITUACION COMERCIAL'!AB12</f>
        <v/>
      </c>
      <c r="G9" s="21" t="n">
        <v>5625</v>
      </c>
      <c r="H9" s="22">
        <f>+G9*0.1</f>
        <v/>
      </c>
      <c r="I9" s="396">
        <f>+H9+G9</f>
        <v/>
      </c>
      <c r="J9" s="23">
        <f>+I9-K9</f>
        <v/>
      </c>
      <c r="K9" s="23">
        <f>+M9*L9</f>
        <v/>
      </c>
      <c r="L9" s="183" t="n">
        <v>19</v>
      </c>
      <c r="M9" s="384" t="n">
        <v>195.39</v>
      </c>
      <c r="N9" s="384">
        <f>+'TOTAL OPERACION'!R10</f>
        <v/>
      </c>
      <c r="O9" s="555">
        <f>N9*0.1</f>
        <v/>
      </c>
      <c r="P9" s="555">
        <f>N9+O9</f>
        <v/>
      </c>
      <c r="Q9" s="556">
        <f>N9+G9</f>
        <v/>
      </c>
      <c r="R9" s="556">
        <f>P9+I9</f>
        <v/>
      </c>
    </row>
    <row r="10" ht="14.25" customHeight="1">
      <c r="B10" s="239">
        <f>+B9+1</f>
        <v/>
      </c>
      <c r="C10" s="35" t="n">
        <v>1</v>
      </c>
      <c r="D10" s="36" t="inlineStr">
        <is>
          <t>BAJA</t>
        </is>
      </c>
      <c r="E10" s="36" t="inlineStr">
        <is>
          <t>B</t>
        </is>
      </c>
      <c r="F10" s="267">
        <f>+'SITUACION COMERCIAL'!AB13</f>
        <v/>
      </c>
      <c r="G10" s="39" t="n">
        <v>1775</v>
      </c>
      <c r="H10" s="40">
        <f>+G10*0.1</f>
        <v/>
      </c>
      <c r="I10" s="397">
        <f>+H10+G10</f>
        <v/>
      </c>
      <c r="J10" s="23">
        <f>+I10-K10</f>
        <v/>
      </c>
      <c r="K10" s="23">
        <f>+M10*L10</f>
        <v/>
      </c>
      <c r="L10" s="183" t="n">
        <v>19</v>
      </c>
      <c r="M10" s="385" t="n">
        <v>61.65</v>
      </c>
      <c r="N10" s="385">
        <f>+'TOTAL OPERACION'!R11</f>
        <v/>
      </c>
      <c r="O10" s="557">
        <f>N10*0.1</f>
        <v/>
      </c>
      <c r="P10" s="557">
        <f>N10+O10</f>
        <v/>
      </c>
      <c r="Q10" s="558">
        <f>N10+G10</f>
        <v/>
      </c>
      <c r="R10" s="558">
        <f>P10+I10</f>
        <v/>
      </c>
    </row>
    <row r="11" ht="15.75" customHeight="1">
      <c r="B11" s="239" t="n">
        <v>3</v>
      </c>
      <c r="C11" s="35" t="n">
        <v>1</v>
      </c>
      <c r="D11" s="36" t="inlineStr">
        <is>
          <t>BAJA</t>
        </is>
      </c>
      <c r="E11" s="36" t="inlineStr">
        <is>
          <t>C</t>
        </is>
      </c>
      <c r="F11" s="267">
        <f>+'SITUACION COMERCIAL'!AB14</f>
        <v/>
      </c>
      <c r="G11" s="39" t="n"/>
      <c r="H11" s="40">
        <f>+G11*0.1</f>
        <v/>
      </c>
      <c r="I11" s="397">
        <f>+H11+G11</f>
        <v/>
      </c>
      <c r="J11" s="70" t="n"/>
      <c r="K11" s="70" t="n"/>
      <c r="L11" s="186" t="n">
        <v>20</v>
      </c>
      <c r="M11" s="385" t="n"/>
      <c r="N11" s="385">
        <f>+'TOTAL OPERACION'!R12</f>
        <v/>
      </c>
      <c r="O11" s="557">
        <f>N11*0.1</f>
        <v/>
      </c>
      <c r="P11" s="557">
        <f>N11+O11</f>
        <v/>
      </c>
      <c r="Q11" s="558">
        <f>N11+G11</f>
        <v/>
      </c>
      <c r="R11" s="558">
        <f>P11+I11</f>
        <v/>
      </c>
    </row>
    <row r="12" ht="14.25" customHeight="1">
      <c r="B12" s="239">
        <f>+B11+1</f>
        <v/>
      </c>
      <c r="C12" s="35" t="n">
        <v>1</v>
      </c>
      <c r="D12" s="36" t="inlineStr">
        <is>
          <t xml:space="preserve">BAJA </t>
        </is>
      </c>
      <c r="E12" s="36" t="inlineStr">
        <is>
          <t>D</t>
        </is>
      </c>
      <c r="F12" s="267">
        <f>+'SITUACION COMERCIAL'!AB15</f>
        <v/>
      </c>
      <c r="G12" s="39" t="n">
        <v>1250</v>
      </c>
      <c r="H12" s="40">
        <f>+G12*0.1</f>
        <v/>
      </c>
      <c r="I12" s="397">
        <f>+H12+G12</f>
        <v/>
      </c>
      <c r="J12" s="41" t="n">
        <v>550.0599999999999</v>
      </c>
      <c r="K12" s="41">
        <f>+L12*M12</f>
        <v/>
      </c>
      <c r="L12" s="409" t="n">
        <v>18</v>
      </c>
      <c r="M12" s="385" t="n">
        <v>45.83</v>
      </c>
      <c r="N12" s="385">
        <f>+'TOTAL OPERACION'!R13</f>
        <v/>
      </c>
      <c r="O12" s="557">
        <f>N12*0.1</f>
        <v/>
      </c>
      <c r="P12" s="557">
        <f>N12+O12</f>
        <v/>
      </c>
      <c r="Q12" s="558">
        <f>N12+G12</f>
        <v/>
      </c>
      <c r="R12" s="558">
        <f>P12+I12</f>
        <v/>
      </c>
    </row>
    <row r="13" ht="15.75" customHeight="1" thickBot="1">
      <c r="B13" s="239">
        <f>+B12+1</f>
        <v/>
      </c>
      <c r="C13" s="35" t="n">
        <v>1</v>
      </c>
      <c r="D13" s="36" t="inlineStr">
        <is>
          <t>BAJA</t>
        </is>
      </c>
      <c r="E13" s="36" t="inlineStr">
        <is>
          <t>E</t>
        </is>
      </c>
      <c r="F13" s="268">
        <f>+'SITUACION COMERCIAL'!AB28</f>
        <v/>
      </c>
      <c r="G13" s="56" t="n"/>
      <c r="H13" s="57">
        <f>+G13*0.1</f>
        <v/>
      </c>
      <c r="I13" s="398">
        <f>+H13+G13</f>
        <v/>
      </c>
      <c r="J13" s="58" t="n"/>
      <c r="K13" s="58" t="n"/>
      <c r="L13" s="289" t="n">
        <v>20</v>
      </c>
      <c r="M13" s="386" t="n"/>
      <c r="N13" s="386">
        <f>+'TOTAL OPERACION'!R14</f>
        <v/>
      </c>
      <c r="O13" s="559">
        <f>N13*0.1</f>
        <v/>
      </c>
      <c r="P13" s="559">
        <f>N13+O13</f>
        <v/>
      </c>
      <c r="Q13" s="560">
        <f>N13+G13</f>
        <v/>
      </c>
      <c r="R13" s="560">
        <f>P13+I13</f>
        <v/>
      </c>
    </row>
    <row r="14" ht="12" customHeight="1">
      <c r="B14" s="240">
        <f>+B13+1</f>
        <v/>
      </c>
      <c r="C14" s="59" t="n">
        <v>1</v>
      </c>
      <c r="D14" s="60" t="n">
        <v>1</v>
      </c>
      <c r="E14" s="60" t="inlineStr">
        <is>
          <t>A</t>
        </is>
      </c>
      <c r="F14" s="269">
        <f>+'SITUACION COMERCIAL'!AB17</f>
        <v/>
      </c>
      <c r="G14" s="65" t="n">
        <v>2465</v>
      </c>
      <c r="H14" s="66">
        <f>+G14*0.1</f>
        <v/>
      </c>
      <c r="I14" s="399">
        <f>+H14+G14</f>
        <v/>
      </c>
      <c r="J14" s="97">
        <f>+I14-K14</f>
        <v/>
      </c>
      <c r="K14" s="97">
        <f>+M14*L14</f>
        <v/>
      </c>
      <c r="L14" s="290" t="n">
        <v>19</v>
      </c>
      <c r="M14" s="387" t="n">
        <v>85.62</v>
      </c>
      <c r="N14" s="387">
        <f>+'TOTAL OPERACION'!R15</f>
        <v/>
      </c>
      <c r="O14" s="561">
        <f>N14*0.1</f>
        <v/>
      </c>
      <c r="P14" s="561">
        <f>N14+O14</f>
        <v/>
      </c>
      <c r="Q14" s="562">
        <f>N14+G14</f>
        <v/>
      </c>
      <c r="R14" s="562">
        <f>P14+I14</f>
        <v/>
      </c>
    </row>
    <row r="15">
      <c r="B15" s="239">
        <f>+B14+1</f>
        <v/>
      </c>
      <c r="C15" s="35" t="n">
        <v>1</v>
      </c>
      <c r="D15" s="36" t="n">
        <v>1</v>
      </c>
      <c r="E15" s="36" t="inlineStr">
        <is>
          <t>B</t>
        </is>
      </c>
      <c r="F15" s="267">
        <f>+'SITUACION COMERCIAL'!AB18</f>
        <v/>
      </c>
      <c r="G15" s="39" t="n"/>
      <c r="H15" s="40">
        <f>+G15*0.1</f>
        <v/>
      </c>
      <c r="I15" s="397">
        <f>+H15+G15</f>
        <v/>
      </c>
      <c r="J15" s="42" t="n"/>
      <c r="K15" s="42" t="n"/>
      <c r="L15" s="291" t="n">
        <v>20</v>
      </c>
      <c r="M15" s="385" t="n"/>
      <c r="N15" s="385">
        <f>+'TOTAL OPERACION'!R16</f>
        <v/>
      </c>
      <c r="O15" s="557">
        <f>N15*0.1</f>
        <v/>
      </c>
      <c r="P15" s="557">
        <f>N15+O15</f>
        <v/>
      </c>
      <c r="Q15" s="558">
        <f>N15+G15</f>
        <v/>
      </c>
      <c r="R15" s="558">
        <f>P15+I15</f>
        <v/>
      </c>
    </row>
    <row r="16" ht="14.25" customHeight="1">
      <c r="B16" s="239">
        <f>+B15+1</f>
        <v/>
      </c>
      <c r="C16" s="35" t="n">
        <v>1</v>
      </c>
      <c r="D16" s="36" t="n">
        <v>1</v>
      </c>
      <c r="E16" s="36" t="inlineStr">
        <is>
          <t>C</t>
        </is>
      </c>
      <c r="F16" s="267">
        <f>+'SITUACION COMERCIAL'!AB19</f>
        <v/>
      </c>
      <c r="G16" s="39" t="n"/>
      <c r="H16" s="40">
        <f>+G16*0.1</f>
        <v/>
      </c>
      <c r="I16" s="397">
        <f>+H16+G16</f>
        <v/>
      </c>
      <c r="J16" s="70" t="n"/>
      <c r="K16" s="70" t="n"/>
      <c r="L16" s="186" t="n">
        <v>20</v>
      </c>
      <c r="M16" s="385" t="n"/>
      <c r="N16" s="385">
        <f>+'TOTAL OPERACION'!R17</f>
        <v/>
      </c>
      <c r="O16" s="557">
        <f>N16*0.1</f>
        <v/>
      </c>
      <c r="P16" s="557">
        <f>N16+O16</f>
        <v/>
      </c>
      <c r="Q16" s="558">
        <f>N16+G16</f>
        <v/>
      </c>
      <c r="R16" s="558">
        <f>P16+I16</f>
        <v/>
      </c>
    </row>
    <row r="17" ht="14.25" customHeight="1">
      <c r="B17" s="239">
        <f>+B16+1</f>
        <v/>
      </c>
      <c r="C17" s="35" t="n">
        <v>1</v>
      </c>
      <c r="D17" s="36" t="n">
        <v>1</v>
      </c>
      <c r="E17" s="36" t="inlineStr">
        <is>
          <t>D</t>
        </is>
      </c>
      <c r="F17" s="267">
        <f>+'SITUACION COMERCIAL'!AB20</f>
        <v/>
      </c>
      <c r="G17" s="39" t="n"/>
      <c r="H17" s="40">
        <f>+G17*0.1</f>
        <v/>
      </c>
      <c r="I17" s="397">
        <f>+H17+G17</f>
        <v/>
      </c>
      <c r="J17" s="42" t="n"/>
      <c r="K17" s="42" t="n"/>
      <c r="L17" s="291" t="n">
        <v>20</v>
      </c>
      <c r="M17" s="385" t="n"/>
      <c r="N17" s="385">
        <f>+'TOTAL OPERACION'!R18</f>
        <v/>
      </c>
      <c r="O17" s="557">
        <f>N17*0.1</f>
        <v/>
      </c>
      <c r="P17" s="557">
        <f>N17+O17</f>
        <v/>
      </c>
      <c r="Q17" s="558">
        <f>N17+G17</f>
        <v/>
      </c>
      <c r="R17" s="558">
        <f>P17+I17</f>
        <v/>
      </c>
    </row>
    <row r="18">
      <c r="B18" s="239">
        <f>+B17+1</f>
        <v/>
      </c>
      <c r="C18" s="74" t="n">
        <v>1</v>
      </c>
      <c r="D18" s="75" t="n">
        <v>1</v>
      </c>
      <c r="E18" s="75" t="inlineStr">
        <is>
          <t>E</t>
        </is>
      </c>
      <c r="F18" s="268">
        <f>+'SITUACION COMERCIAL'!AB21</f>
        <v/>
      </c>
      <c r="G18" s="79" t="n">
        <v>685</v>
      </c>
      <c r="H18" s="40">
        <f>+G18*0.1</f>
        <v/>
      </c>
      <c r="I18" s="397">
        <f>+H18+G18</f>
        <v/>
      </c>
      <c r="J18" s="70" t="n">
        <v>753.5</v>
      </c>
      <c r="K18" s="70" t="n"/>
      <c r="L18" s="186" t="n">
        <v>20</v>
      </c>
      <c r="M18" s="385" t="n"/>
      <c r="N18" s="385">
        <f>+'TOTAL OPERACION'!R19</f>
        <v/>
      </c>
      <c r="O18" s="557">
        <f>N18*0.1</f>
        <v/>
      </c>
      <c r="P18" s="557">
        <f>N18+O18</f>
        <v/>
      </c>
      <c r="Q18" s="558">
        <f>N18+G18</f>
        <v/>
      </c>
      <c r="R18" s="558">
        <f>P18+I18</f>
        <v/>
      </c>
    </row>
    <row r="19" ht="15.75" customHeight="1" thickBot="1">
      <c r="B19" s="241">
        <f>+B18+1</f>
        <v/>
      </c>
      <c r="C19" s="81" t="n">
        <v>1</v>
      </c>
      <c r="D19" s="82" t="n">
        <v>1</v>
      </c>
      <c r="E19" s="53" t="inlineStr">
        <is>
          <t>F</t>
        </is>
      </c>
      <c r="F19" s="270">
        <f>+'SITUACION COMERCIAL'!AB22</f>
        <v/>
      </c>
      <c r="G19" s="85" t="n"/>
      <c r="H19" s="57">
        <f>+G19*0.1</f>
        <v/>
      </c>
      <c r="I19" s="398">
        <f>+H19+G19</f>
        <v/>
      </c>
      <c r="J19" s="58" t="n"/>
      <c r="K19" s="58" t="n"/>
      <c r="L19" s="289" t="n">
        <v>20</v>
      </c>
      <c r="M19" s="386" t="n"/>
      <c r="N19" s="386">
        <f>+'TOTAL OPERACION'!R20</f>
        <v/>
      </c>
      <c r="O19" s="559">
        <f>N19*0.1</f>
        <v/>
      </c>
      <c r="P19" s="559">
        <f>N19+O19</f>
        <v/>
      </c>
      <c r="Q19" s="560">
        <f>N19+G19</f>
        <v/>
      </c>
      <c r="R19" s="560">
        <f>P19+I19</f>
        <v/>
      </c>
    </row>
    <row r="20" ht="14.25" customHeight="1">
      <c r="B20" s="240">
        <f>+B19+1</f>
        <v/>
      </c>
      <c r="C20" s="59" t="n">
        <v>1</v>
      </c>
      <c r="D20" s="60" t="n">
        <v>2</v>
      </c>
      <c r="E20" s="60" t="inlineStr">
        <is>
          <t>A</t>
        </is>
      </c>
      <c r="F20" s="269">
        <f>+'SITUACION COMERCIAL'!AB23</f>
        <v/>
      </c>
      <c r="G20" s="65">
        <f>2015+90</f>
        <v/>
      </c>
      <c r="H20" s="66">
        <f>+G20*0.1</f>
        <v/>
      </c>
      <c r="I20" s="399">
        <f>+H20+G20</f>
        <v/>
      </c>
      <c r="J20" s="86" t="n">
        <v>886.5</v>
      </c>
      <c r="K20" s="86">
        <f>+M20*L20</f>
        <v/>
      </c>
      <c r="L20" s="292" t="n">
        <v>19</v>
      </c>
      <c r="M20" s="387" t="n">
        <v>75.20999999999999</v>
      </c>
      <c r="N20" s="387">
        <f>+'TOTAL OPERACION'!R21</f>
        <v/>
      </c>
      <c r="O20" s="561">
        <f>N20*0.1</f>
        <v/>
      </c>
      <c r="P20" s="561">
        <f>N20+O20</f>
        <v/>
      </c>
      <c r="Q20" s="562">
        <f>N20+G20</f>
        <v/>
      </c>
      <c r="R20" s="562">
        <f>P20+I20</f>
        <v/>
      </c>
    </row>
    <row r="21" ht="14.25" customHeight="1">
      <c r="B21" s="239">
        <f>+B20+1</f>
        <v/>
      </c>
      <c r="C21" s="35" t="n">
        <v>1</v>
      </c>
      <c r="D21" s="36" t="n">
        <v>2</v>
      </c>
      <c r="E21" s="36" t="inlineStr">
        <is>
          <t>B</t>
        </is>
      </c>
      <c r="F21" s="267">
        <f>+'SITUACION COMERCIAL'!AB24</f>
        <v/>
      </c>
      <c r="G21" s="39" t="n">
        <v>2610</v>
      </c>
      <c r="H21" s="40">
        <f>+G21*0.1</f>
        <v/>
      </c>
      <c r="I21" s="397">
        <f>+H21+G21</f>
        <v/>
      </c>
      <c r="J21" s="70" t="n">
        <v>1148.46</v>
      </c>
      <c r="K21" s="70">
        <f>+M21*L21</f>
        <v/>
      </c>
      <c r="L21" s="186" t="n">
        <v>19</v>
      </c>
      <c r="M21" s="385">
        <f>1722.54/19</f>
        <v/>
      </c>
      <c r="N21" s="385">
        <f>+'TOTAL OPERACION'!R22</f>
        <v/>
      </c>
      <c r="O21" s="557">
        <f>N21*0.1</f>
        <v/>
      </c>
      <c r="P21" s="557">
        <f>N21+O21</f>
        <v/>
      </c>
      <c r="Q21" s="558">
        <f>N21+G21</f>
        <v/>
      </c>
      <c r="R21" s="558">
        <f>P21+I21</f>
        <v/>
      </c>
    </row>
    <row r="22" ht="14.25" customHeight="1">
      <c r="B22" s="239">
        <f>+B21+1</f>
        <v/>
      </c>
      <c r="C22" s="35" t="n">
        <v>1</v>
      </c>
      <c r="D22" s="36" t="n">
        <v>2</v>
      </c>
      <c r="E22" s="36" t="inlineStr">
        <is>
          <t>C</t>
        </is>
      </c>
      <c r="F22" s="267">
        <f>+'SITUACION COMERCIAL'!AB25</f>
        <v/>
      </c>
      <c r="G22" s="39" t="n">
        <v>495</v>
      </c>
      <c r="H22" s="428">
        <f>+G22*0.1</f>
        <v/>
      </c>
      <c r="I22" s="397">
        <f>+H22+G22</f>
        <v/>
      </c>
      <c r="J22" s="70">
        <f>+I22</f>
        <v/>
      </c>
      <c r="K22" s="70" t="n"/>
      <c r="L22" s="186" t="n">
        <v>20</v>
      </c>
      <c r="M22" s="385" t="n"/>
      <c r="N22" s="385">
        <f>+'TOTAL OPERACION'!R23</f>
        <v/>
      </c>
      <c r="O22" s="557">
        <f>N22*0.1</f>
        <v/>
      </c>
      <c r="P22" s="557">
        <f>N22+O22</f>
        <v/>
      </c>
      <c r="Q22" s="558">
        <f>N22+G22</f>
        <v/>
      </c>
      <c r="R22" s="558">
        <f>P22+I22</f>
        <v/>
      </c>
    </row>
    <row r="23" ht="14.25" customHeight="1">
      <c r="B23" s="239">
        <f>+B22+1</f>
        <v/>
      </c>
      <c r="C23" s="35" t="n">
        <v>1</v>
      </c>
      <c r="D23" s="36" t="n">
        <v>2</v>
      </c>
      <c r="E23" s="36" t="inlineStr">
        <is>
          <t>D</t>
        </is>
      </c>
      <c r="F23" s="267">
        <f>+'SITUACION COMERCIAL'!AB26</f>
        <v/>
      </c>
      <c r="G23" s="39" t="n">
        <v>1185</v>
      </c>
      <c r="H23" s="40">
        <f>+G23*0.1</f>
        <v/>
      </c>
      <c r="I23" s="397">
        <f>+H23+G23</f>
        <v/>
      </c>
      <c r="J23" s="41" t="n">
        <v>524.5</v>
      </c>
      <c r="K23" s="41">
        <f>+M23*L23</f>
        <v/>
      </c>
      <c r="L23" s="288" t="n">
        <v>19</v>
      </c>
      <c r="M23" s="385" t="n">
        <v>41</v>
      </c>
      <c r="N23" s="385">
        <f>+'TOTAL OPERACION'!R24</f>
        <v/>
      </c>
      <c r="O23" s="557">
        <f>N23*0.1</f>
        <v/>
      </c>
      <c r="P23" s="557">
        <f>N23+O23</f>
        <v/>
      </c>
      <c r="Q23" s="558">
        <f>N23+G23</f>
        <v/>
      </c>
      <c r="R23" s="558">
        <f>P23+I23</f>
        <v/>
      </c>
    </row>
    <row r="24">
      <c r="B24" s="239">
        <f>+B23+1</f>
        <v/>
      </c>
      <c r="C24" s="74" t="n">
        <v>1</v>
      </c>
      <c r="D24" s="75" t="n">
        <v>2</v>
      </c>
      <c r="E24" s="75" t="inlineStr">
        <is>
          <t>E</t>
        </is>
      </c>
      <c r="F24" s="268">
        <f>+'SITUACION COMERCIAL'!AB27</f>
        <v/>
      </c>
      <c r="G24" s="79" t="n">
        <v>1250</v>
      </c>
      <c r="H24" s="40">
        <f>+G24*0.1</f>
        <v/>
      </c>
      <c r="I24" s="397">
        <f>+H24+G24</f>
        <v/>
      </c>
      <c r="J24" s="236" t="n">
        <v>500</v>
      </c>
      <c r="K24" s="236">
        <f>+M24*L24+0.02</f>
        <v/>
      </c>
      <c r="L24" s="410" t="n">
        <v>18</v>
      </c>
      <c r="M24" s="385" t="n">
        <v>48.61</v>
      </c>
      <c r="N24" s="385">
        <f>+'TOTAL OPERACION'!R25</f>
        <v/>
      </c>
      <c r="O24" s="557">
        <f>N24*0.1</f>
        <v/>
      </c>
      <c r="P24" s="557">
        <f>N24+O24</f>
        <v/>
      </c>
      <c r="Q24" s="558">
        <f>N24+G24</f>
        <v/>
      </c>
      <c r="R24" s="558">
        <f>P24+I24</f>
        <v/>
      </c>
    </row>
    <row r="25" ht="14.25" customHeight="1" thickBot="1">
      <c r="B25" s="241">
        <f>+B24+1</f>
        <v/>
      </c>
      <c r="C25" s="81" t="n">
        <v>1</v>
      </c>
      <c r="D25" s="82" t="n">
        <v>2</v>
      </c>
      <c r="E25" s="53" t="inlineStr">
        <is>
          <t>F</t>
        </is>
      </c>
      <c r="F25" s="270">
        <f>+'SITUACION COMERCIAL'!#REF!</f>
        <v/>
      </c>
      <c r="G25" s="85" t="n"/>
      <c r="H25" s="57">
        <f>+G25*0.1</f>
        <v/>
      </c>
      <c r="I25" s="398">
        <f>+H25+G25</f>
        <v/>
      </c>
      <c r="J25" s="58" t="n"/>
      <c r="K25" s="58" t="n"/>
      <c r="L25" s="289" t="n">
        <v>20</v>
      </c>
      <c r="M25" s="386" t="n"/>
      <c r="N25" s="386">
        <f>+'TOTAL OPERACION'!R26</f>
        <v/>
      </c>
      <c r="O25" s="559">
        <f>N25*0.1</f>
        <v/>
      </c>
      <c r="P25" s="559">
        <f>N25+O25</f>
        <v/>
      </c>
      <c r="Q25" s="560">
        <f>N25+G25</f>
        <v/>
      </c>
      <c r="R25" s="560">
        <f>P25+I25</f>
        <v/>
      </c>
    </row>
    <row r="26" ht="14.25" customHeight="1">
      <c r="B26" s="240">
        <f>+B25+1</f>
        <v/>
      </c>
      <c r="C26" s="59" t="n">
        <v>1</v>
      </c>
      <c r="D26" s="60" t="n">
        <v>3</v>
      </c>
      <c r="E26" s="60" t="inlineStr">
        <is>
          <t>A</t>
        </is>
      </c>
      <c r="F26" s="269">
        <f>+'SITUACION COMERCIAL'!AB29</f>
        <v/>
      </c>
      <c r="G26" s="65" t="n">
        <v>3800</v>
      </c>
      <c r="H26" s="66">
        <f>+G26*0.1</f>
        <v/>
      </c>
      <c r="I26" s="399">
        <f>+H26+G26</f>
        <v/>
      </c>
      <c r="J26" s="97" t="n">
        <v>1672</v>
      </c>
      <c r="K26" s="97">
        <f>+M26*L26</f>
        <v/>
      </c>
      <c r="L26" s="290" t="n">
        <v>19</v>
      </c>
      <c r="M26" s="387" t="n">
        <v>132</v>
      </c>
      <c r="N26" s="387">
        <f>+'TOTAL OPERACION'!R27</f>
        <v/>
      </c>
      <c r="O26" s="561">
        <f>N26*0.1</f>
        <v/>
      </c>
      <c r="P26" s="561">
        <f>N26+O26</f>
        <v/>
      </c>
      <c r="Q26" s="562">
        <f>N26+G26</f>
        <v/>
      </c>
      <c r="R26" s="562">
        <f>P26+I26</f>
        <v/>
      </c>
    </row>
    <row r="27" ht="14.25" customHeight="1">
      <c r="B27" s="239">
        <f>+B26+1</f>
        <v/>
      </c>
      <c r="C27" s="35" t="n">
        <v>1</v>
      </c>
      <c r="D27" s="100" t="n">
        <v>3</v>
      </c>
      <c r="E27" s="36" t="inlineStr">
        <is>
          <t>B</t>
        </is>
      </c>
      <c r="F27" s="267">
        <f>+'SITUACION COMERCIAL'!AB30</f>
        <v/>
      </c>
      <c r="G27" s="39" t="n">
        <v>1880</v>
      </c>
      <c r="H27" s="40">
        <f>+G27*0.1</f>
        <v/>
      </c>
      <c r="I27" s="397">
        <f>+H27+G27</f>
        <v/>
      </c>
      <c r="J27" s="70" t="n">
        <v>827.3</v>
      </c>
      <c r="K27" s="70" t="n"/>
      <c r="L27" s="186" t="n">
        <v>19</v>
      </c>
      <c r="M27" s="385" t="n">
        <v>65.3</v>
      </c>
      <c r="N27" s="385">
        <f>+'TOTAL OPERACION'!R28</f>
        <v/>
      </c>
      <c r="O27" s="557">
        <f>N27*0.1</f>
        <v/>
      </c>
      <c r="P27" s="557">
        <f>N27+O27</f>
        <v/>
      </c>
      <c r="Q27" s="558">
        <f>N27+G27</f>
        <v/>
      </c>
      <c r="R27" s="558">
        <f>P27+I27</f>
        <v/>
      </c>
    </row>
    <row r="28" ht="14.25" customHeight="1">
      <c r="B28" s="239">
        <f>+B27+1</f>
        <v/>
      </c>
      <c r="C28" s="35" t="n">
        <v>1</v>
      </c>
      <c r="D28" s="100" t="n">
        <v>3</v>
      </c>
      <c r="E28" s="36" t="inlineStr">
        <is>
          <t>C</t>
        </is>
      </c>
      <c r="F28" s="267">
        <f>+'SITUACION COMERCIAL'!AB31</f>
        <v/>
      </c>
      <c r="G28" s="39" t="n">
        <v>0</v>
      </c>
      <c r="H28" s="40">
        <f>+G28*0.1</f>
        <v/>
      </c>
      <c r="I28" s="397">
        <f>+H28+G28</f>
        <v/>
      </c>
      <c r="J28" s="41" t="n"/>
      <c r="K28" s="41" t="n"/>
      <c r="L28" s="288" t="n">
        <v>20</v>
      </c>
      <c r="M28" s="385" t="n"/>
      <c r="N28" s="385">
        <f>+'TOTAL OPERACION'!R29</f>
        <v/>
      </c>
      <c r="O28" s="557">
        <f>N28*0.1</f>
        <v/>
      </c>
      <c r="P28" s="557">
        <f>N28+O28</f>
        <v/>
      </c>
      <c r="Q28" s="558">
        <f>N28+G28</f>
        <v/>
      </c>
      <c r="R28" s="558">
        <f>P28+I28</f>
        <v/>
      </c>
    </row>
    <row r="29" ht="14.25" customHeight="1">
      <c r="B29" s="239">
        <f>+B28+1</f>
        <v/>
      </c>
      <c r="C29" s="35" t="n">
        <v>1</v>
      </c>
      <c r="D29" s="100" t="n">
        <v>3</v>
      </c>
      <c r="E29" s="36" t="inlineStr">
        <is>
          <t>D</t>
        </is>
      </c>
      <c r="F29" s="267">
        <f>+'SITUACION COMERCIAL'!AB32</f>
        <v/>
      </c>
      <c r="G29" s="39" t="n">
        <v>0</v>
      </c>
      <c r="H29" s="40">
        <f>+G29*0.1</f>
        <v/>
      </c>
      <c r="I29" s="397">
        <f>+H29+G29</f>
        <v/>
      </c>
      <c r="J29" s="41" t="n"/>
      <c r="K29" s="41" t="n"/>
      <c r="L29" s="288" t="n">
        <v>20</v>
      </c>
      <c r="M29" s="385" t="n"/>
      <c r="N29" s="385">
        <f>+'TOTAL OPERACION'!R30</f>
        <v/>
      </c>
      <c r="O29" s="557">
        <f>N29*0.1</f>
        <v/>
      </c>
      <c r="P29" s="557">
        <f>N29+O29</f>
        <v/>
      </c>
      <c r="Q29" s="558">
        <f>N29+G29</f>
        <v/>
      </c>
      <c r="R29" s="558">
        <f>P29+I29</f>
        <v/>
      </c>
    </row>
    <row r="30" ht="14.25" customHeight="1">
      <c r="B30" s="239">
        <f>+B29+1</f>
        <v/>
      </c>
      <c r="C30" s="74" t="n">
        <v>1</v>
      </c>
      <c r="D30" s="102" t="n">
        <v>3</v>
      </c>
      <c r="E30" s="75" t="inlineStr">
        <is>
          <t>E</t>
        </is>
      </c>
      <c r="F30" s="268">
        <f>+'SITUACION COMERCIAL'!AB33</f>
        <v/>
      </c>
      <c r="G30" s="79" t="n">
        <v>1540</v>
      </c>
      <c r="H30" s="40">
        <f>+G30*0.1</f>
        <v/>
      </c>
      <c r="I30" s="397">
        <f>+H30+G30</f>
        <v/>
      </c>
      <c r="J30" s="70" t="n">
        <v>677.72</v>
      </c>
      <c r="K30" s="70" t="n"/>
      <c r="L30" s="413" t="n">
        <v>18</v>
      </c>
      <c r="M30" s="385" t="n">
        <v>56.46</v>
      </c>
      <c r="N30" s="385">
        <f>+'TOTAL OPERACION'!R31</f>
        <v/>
      </c>
      <c r="O30" s="557">
        <f>N30*0.1</f>
        <v/>
      </c>
      <c r="P30" s="557">
        <f>N30+O30</f>
        <v/>
      </c>
      <c r="Q30" s="558">
        <f>N30+G30</f>
        <v/>
      </c>
      <c r="R30" s="558">
        <f>P30+I30</f>
        <v/>
      </c>
    </row>
    <row r="31" ht="14.25" customHeight="1" thickBot="1">
      <c r="B31" s="241">
        <f>+B30+1</f>
        <v/>
      </c>
      <c r="C31" s="81" t="n">
        <v>1</v>
      </c>
      <c r="D31" s="53" t="n">
        <v>3</v>
      </c>
      <c r="E31" s="53" t="inlineStr">
        <is>
          <t>F</t>
        </is>
      </c>
      <c r="F31" s="270">
        <f>+'SITUACION COMERCIAL'!AB34</f>
        <v/>
      </c>
      <c r="G31" s="85" t="n">
        <v>1125</v>
      </c>
      <c r="H31" s="57">
        <f>+G31*0.1</f>
        <v/>
      </c>
      <c r="I31" s="398">
        <f>+H31+G31</f>
        <v/>
      </c>
      <c r="J31" s="104" t="n">
        <v>495</v>
      </c>
      <c r="K31" s="104">
        <f>+M31*L31</f>
        <v/>
      </c>
      <c r="L31" s="411" t="n">
        <v>18</v>
      </c>
      <c r="M31" s="386" t="n">
        <v>41.25</v>
      </c>
      <c r="N31" s="386">
        <f>+'TOTAL OPERACION'!R32</f>
        <v/>
      </c>
      <c r="O31" s="559">
        <f>N31*0.1</f>
        <v/>
      </c>
      <c r="P31" s="559">
        <f>N31+O31</f>
        <v/>
      </c>
      <c r="Q31" s="560">
        <f>N31+G31</f>
        <v/>
      </c>
      <c r="R31" s="560">
        <f>P31+I31</f>
        <v/>
      </c>
    </row>
    <row r="32" ht="14.25" customHeight="1">
      <c r="B32" s="240">
        <f>+B31+1</f>
        <v/>
      </c>
      <c r="C32" s="59" t="n">
        <v>1</v>
      </c>
      <c r="D32" s="60" t="n">
        <v>4</v>
      </c>
      <c r="E32" s="105" t="inlineStr">
        <is>
          <t>A</t>
        </is>
      </c>
      <c r="F32" s="271">
        <f>+'SITUACION COMERCIAL'!AB35</f>
        <v/>
      </c>
      <c r="G32" s="65" t="n">
        <v>3345</v>
      </c>
      <c r="H32" s="66">
        <f>+G32*0.1</f>
        <v/>
      </c>
      <c r="I32" s="399">
        <f>+H32+G32</f>
        <v/>
      </c>
      <c r="J32" s="97" t="n">
        <v>735.9</v>
      </c>
      <c r="K32" s="97">
        <f>+M32*L32</f>
        <v/>
      </c>
      <c r="L32" s="290" t="n">
        <v>15</v>
      </c>
      <c r="M32" s="387" t="n">
        <v>196.24</v>
      </c>
      <c r="N32" s="387">
        <f>+'TOTAL OPERACION'!R33</f>
        <v/>
      </c>
      <c r="O32" s="561">
        <f>N32*0.1</f>
        <v/>
      </c>
      <c r="P32" s="561">
        <f>N32+O32</f>
        <v/>
      </c>
      <c r="Q32" s="562">
        <f>N32+G32</f>
        <v/>
      </c>
      <c r="R32" s="562">
        <f>P32+I32</f>
        <v/>
      </c>
    </row>
    <row r="33" ht="14.25" customHeight="1">
      <c r="B33" s="239">
        <f>+B32+1</f>
        <v/>
      </c>
      <c r="C33" s="35" t="n">
        <v>1</v>
      </c>
      <c r="D33" s="100" t="n">
        <v>4</v>
      </c>
      <c r="E33" s="36" t="inlineStr">
        <is>
          <t>B</t>
        </is>
      </c>
      <c r="F33" s="267">
        <f>+'SITUACION COMERCIAL'!AB36</f>
        <v/>
      </c>
      <c r="G33" s="39" t="n">
        <v>1385</v>
      </c>
      <c r="H33" s="40">
        <f>+G33*0.1</f>
        <v/>
      </c>
      <c r="I33" s="397">
        <f>+H33+G33</f>
        <v/>
      </c>
      <c r="J33" s="70" t="n">
        <v>609.4</v>
      </c>
      <c r="K33" s="70">
        <f>+M33*L33</f>
        <v/>
      </c>
      <c r="L33" s="186" t="n">
        <v>19</v>
      </c>
      <c r="M33" s="407" t="n">
        <v>48.11</v>
      </c>
      <c r="N33" s="407">
        <f>+'TOTAL OPERACION'!R34</f>
        <v/>
      </c>
      <c r="O33" s="557">
        <f>N33*0.1</f>
        <v/>
      </c>
      <c r="P33" s="557">
        <f>N33+O33</f>
        <v/>
      </c>
      <c r="Q33" s="558">
        <f>N33+G33</f>
        <v/>
      </c>
      <c r="R33" s="558">
        <f>P33+I33</f>
        <v/>
      </c>
    </row>
    <row r="34" ht="14.25" customHeight="1">
      <c r="B34" s="239">
        <f>+B33+1</f>
        <v/>
      </c>
      <c r="C34" s="74" t="n">
        <v>1</v>
      </c>
      <c r="D34" s="102" t="n">
        <v>4</v>
      </c>
      <c r="E34" s="75" t="inlineStr">
        <is>
          <t>C</t>
        </is>
      </c>
      <c r="F34" s="268">
        <f>+'SITUACION COMERCIAL'!AB37</f>
        <v/>
      </c>
      <c r="G34" s="79" t="n">
        <v>1250</v>
      </c>
      <c r="H34" s="40">
        <f>+G34*0.1</f>
        <v/>
      </c>
      <c r="I34" s="397">
        <f>+H34+G34</f>
        <v/>
      </c>
      <c r="J34" s="236" t="n">
        <v>500</v>
      </c>
      <c r="K34" s="236" t="n">
        <v>875</v>
      </c>
      <c r="L34" s="410" t="n">
        <v>18</v>
      </c>
      <c r="M34" s="385" t="n">
        <v>48.61</v>
      </c>
      <c r="N34" s="385">
        <f>+'TOTAL OPERACION'!R35</f>
        <v/>
      </c>
      <c r="O34" s="557">
        <f>N34*0.1</f>
        <v/>
      </c>
      <c r="P34" s="557">
        <f>N34+O34</f>
        <v/>
      </c>
      <c r="Q34" s="558">
        <f>N34+G34</f>
        <v/>
      </c>
      <c r="R34" s="558">
        <f>P34+I34</f>
        <v/>
      </c>
    </row>
    <row r="35" ht="14.25" customHeight="1" thickBot="1">
      <c r="B35" s="241">
        <f>+B34+1</f>
        <v/>
      </c>
      <c r="C35" s="81" t="n">
        <v>1</v>
      </c>
      <c r="D35" s="82" t="n">
        <v>4</v>
      </c>
      <c r="E35" s="82" t="inlineStr">
        <is>
          <t>D</t>
        </is>
      </c>
      <c r="F35" s="270">
        <f>+'SITUACION COMERCIAL'!AB38</f>
        <v/>
      </c>
      <c r="G35" s="85" t="n">
        <v>1070</v>
      </c>
      <c r="H35" s="57">
        <f>+G35*0.1</f>
        <v/>
      </c>
      <c r="I35" s="398">
        <f>+H35+G35</f>
        <v/>
      </c>
      <c r="J35" s="96" t="n">
        <v>470.96</v>
      </c>
      <c r="K35" s="96">
        <f>+L35*M35</f>
        <v/>
      </c>
      <c r="L35" s="191" t="n">
        <v>19</v>
      </c>
      <c r="M35" s="386" t="n">
        <v>37.16</v>
      </c>
      <c r="N35" s="386">
        <f>+'TOTAL OPERACION'!R36</f>
        <v/>
      </c>
      <c r="O35" s="559">
        <f>N35*0.1</f>
        <v/>
      </c>
      <c r="P35" s="559">
        <f>N35+O35</f>
        <v/>
      </c>
      <c r="Q35" s="560">
        <f>N35+G35</f>
        <v/>
      </c>
      <c r="R35" s="560">
        <f>P35+I35</f>
        <v/>
      </c>
    </row>
    <row r="36" ht="14.25" customHeight="1">
      <c r="B36" s="240">
        <f>+B35+1</f>
        <v/>
      </c>
      <c r="C36" s="59" t="n">
        <v>1</v>
      </c>
      <c r="D36" s="105" t="n">
        <v>5</v>
      </c>
      <c r="E36" s="105" t="inlineStr">
        <is>
          <t>A</t>
        </is>
      </c>
      <c r="F36" s="271">
        <f>+'SITUACION COMERCIAL'!AB39</f>
        <v/>
      </c>
      <c r="G36" s="65" t="n">
        <v>2715</v>
      </c>
      <c r="H36" s="66">
        <f>+G36*0.1</f>
        <v/>
      </c>
      <c r="I36" s="399">
        <f>+H36+G36</f>
        <v/>
      </c>
      <c r="J36" s="86" t="n">
        <v>2986.5</v>
      </c>
      <c r="K36" s="86" t="n"/>
      <c r="L36" s="292" t="n">
        <v>20</v>
      </c>
      <c r="M36" s="387" t="n"/>
      <c r="N36" s="387">
        <f>+'TOTAL OPERACION'!R37</f>
        <v/>
      </c>
      <c r="O36" s="561">
        <f>N36*0.1</f>
        <v/>
      </c>
      <c r="P36" s="561">
        <f>N36+O36</f>
        <v/>
      </c>
      <c r="Q36" s="562">
        <f>N36+G36</f>
        <v/>
      </c>
      <c r="R36" s="562">
        <f>P36+I36</f>
        <v/>
      </c>
    </row>
    <row r="37" ht="14.25" customHeight="1">
      <c r="B37" s="239">
        <f>+B36+1</f>
        <v/>
      </c>
      <c r="C37" s="35" t="n">
        <v>1</v>
      </c>
      <c r="D37" s="36" t="n">
        <v>5</v>
      </c>
      <c r="E37" s="100" t="inlineStr">
        <is>
          <t>B</t>
        </is>
      </c>
      <c r="F37" s="272">
        <f>+'SITUACION COMERCIAL'!AB40</f>
        <v/>
      </c>
      <c r="G37" s="113" t="n"/>
      <c r="H37" s="40">
        <f>+G37*0.1</f>
        <v/>
      </c>
      <c r="I37" s="397">
        <f>+H37+G37</f>
        <v/>
      </c>
      <c r="J37" s="42" t="n"/>
      <c r="K37" s="42" t="n"/>
      <c r="L37" s="291" t="n">
        <v>20</v>
      </c>
      <c r="M37" s="385" t="n"/>
      <c r="N37" s="385">
        <f>+'TOTAL OPERACION'!R38</f>
        <v/>
      </c>
      <c r="O37" s="557">
        <f>N37*0.1</f>
        <v/>
      </c>
      <c r="P37" s="557">
        <f>N37+O37</f>
        <v/>
      </c>
      <c r="Q37" s="558">
        <f>N37+G37</f>
        <v/>
      </c>
      <c r="R37" s="558">
        <f>P37+I37</f>
        <v/>
      </c>
    </row>
    <row r="38" ht="14.25" customHeight="1" thickBot="1">
      <c r="B38" s="242">
        <f>+B37+1</f>
        <v/>
      </c>
      <c r="C38" s="114" t="n">
        <v>1</v>
      </c>
      <c r="D38" s="115" t="n">
        <v>5</v>
      </c>
      <c r="E38" s="115" t="inlineStr">
        <is>
          <t>C</t>
        </is>
      </c>
      <c r="F38" s="273">
        <f>+'SITUACION COMERCIAL'!AB41</f>
        <v/>
      </c>
      <c r="G38" s="117" t="n">
        <v>0</v>
      </c>
      <c r="H38" s="118">
        <f>+G38*0.1</f>
        <v/>
      </c>
      <c r="I38" s="400">
        <f>+H38+G38</f>
        <v/>
      </c>
      <c r="J38" s="119" t="n"/>
      <c r="K38" s="119" t="n"/>
      <c r="L38" s="202" t="n">
        <v>20</v>
      </c>
      <c r="M38" s="388" t="n"/>
      <c r="N38" s="388">
        <f>+'TOTAL OPERACION'!R39</f>
        <v/>
      </c>
      <c r="O38" s="563">
        <f>N38*0.1</f>
        <v/>
      </c>
      <c r="P38" s="563">
        <f>N38+O38</f>
        <v/>
      </c>
      <c r="Q38" s="564">
        <f>N38+G38</f>
        <v/>
      </c>
      <c r="R38" s="564">
        <f>P38+I38</f>
        <v/>
      </c>
    </row>
    <row r="39" ht="14.25" customHeight="1">
      <c r="B39" s="121">
        <f>+B38+1</f>
        <v/>
      </c>
      <c r="C39" s="122" t="n">
        <v>2</v>
      </c>
      <c r="D39" s="123" t="inlineStr">
        <is>
          <t>BAJA</t>
        </is>
      </c>
      <c r="E39" s="123" t="inlineStr">
        <is>
          <t>A</t>
        </is>
      </c>
      <c r="F39" s="274">
        <f>+'SITUACION COMERCIAL'!AB42</f>
        <v/>
      </c>
      <c r="G39" s="125" t="n"/>
      <c r="H39" s="126">
        <f>+G39*0.1</f>
        <v/>
      </c>
      <c r="I39" s="401">
        <f>+H39+G39</f>
        <v/>
      </c>
      <c r="J39" s="127" t="n"/>
      <c r="K39" s="127" t="n"/>
      <c r="L39" s="293" t="n">
        <v>20</v>
      </c>
      <c r="M39" s="389" t="n"/>
      <c r="N39" s="389">
        <f>+'TOTAL OPERACION'!R40</f>
        <v/>
      </c>
      <c r="O39" s="565">
        <f>N39*0.1</f>
        <v/>
      </c>
      <c r="P39" s="565">
        <f>N39+O39</f>
        <v/>
      </c>
      <c r="Q39" s="566">
        <f>N39+G39</f>
        <v/>
      </c>
      <c r="R39" s="566">
        <f>P39+I39</f>
        <v/>
      </c>
    </row>
    <row r="40" ht="14.25" customHeight="1">
      <c r="B40" s="128">
        <f>+B39+1</f>
        <v/>
      </c>
      <c r="C40" s="129" t="n">
        <v>2</v>
      </c>
      <c r="D40" s="130" t="inlineStr">
        <is>
          <t>BAJA</t>
        </is>
      </c>
      <c r="E40" s="131" t="inlineStr">
        <is>
          <t>B</t>
        </is>
      </c>
      <c r="F40" s="275">
        <f>+'SITUACION COMERCIAL'!AB43</f>
        <v/>
      </c>
      <c r="G40" s="132" t="n"/>
      <c r="H40" s="133">
        <f>+G40*0.1</f>
        <v/>
      </c>
      <c r="I40" s="402">
        <f>+H40+G40</f>
        <v/>
      </c>
      <c r="J40" s="134" t="n"/>
      <c r="K40" s="134" t="n"/>
      <c r="L40" s="294" t="n">
        <v>20</v>
      </c>
      <c r="M40" s="390" t="n"/>
      <c r="N40" s="390">
        <f>+'TOTAL OPERACION'!R41</f>
        <v/>
      </c>
      <c r="O40" s="567">
        <f>N40*0.1</f>
        <v/>
      </c>
      <c r="P40" s="567">
        <f>N40+O40</f>
        <v/>
      </c>
      <c r="Q40" s="568">
        <f>N40+G40</f>
        <v/>
      </c>
      <c r="R40" s="568">
        <f>P40+I40</f>
        <v/>
      </c>
    </row>
    <row r="41" ht="14.25" customHeight="1">
      <c r="B41" s="128">
        <f>+B40+1</f>
        <v/>
      </c>
      <c r="C41" s="129" t="n">
        <v>2</v>
      </c>
      <c r="D41" s="135" t="inlineStr">
        <is>
          <t>BAJA</t>
        </is>
      </c>
      <c r="E41" s="130" t="inlineStr">
        <is>
          <t>C</t>
        </is>
      </c>
      <c r="F41" s="528">
        <f>+'SITUACION COMERCIAL'!AB44</f>
        <v/>
      </c>
      <c r="G41" s="132" t="n">
        <v>3280</v>
      </c>
      <c r="H41" s="133">
        <f>+G41*0.1</f>
        <v/>
      </c>
      <c r="I41" s="402">
        <f>+H41+G41</f>
        <v/>
      </c>
      <c r="J41" s="226">
        <f>+I41*0.4-0.06</f>
        <v/>
      </c>
      <c r="K41" s="226">
        <f>+M41*L41</f>
        <v/>
      </c>
      <c r="L41" s="295" t="n">
        <v>19</v>
      </c>
      <c r="M41" s="390" t="n">
        <v>113.94</v>
      </c>
      <c r="N41" s="390">
        <f>+'TOTAL OPERACION'!R42</f>
        <v/>
      </c>
      <c r="O41" s="567">
        <f>N41*0.1</f>
        <v/>
      </c>
      <c r="P41" s="567">
        <f>N41+O41</f>
        <v/>
      </c>
      <c r="Q41" s="568">
        <f>N41+G41</f>
        <v/>
      </c>
      <c r="R41" s="568">
        <f>P41+I41</f>
        <v/>
      </c>
    </row>
    <row r="42" ht="14.25" customHeight="1">
      <c r="B42" s="128">
        <f>+B41+1</f>
        <v/>
      </c>
      <c r="C42" s="129" t="n">
        <v>2</v>
      </c>
      <c r="D42" s="135" t="inlineStr">
        <is>
          <t>BAJA</t>
        </is>
      </c>
      <c r="E42" s="131" t="inlineStr">
        <is>
          <t>D</t>
        </is>
      </c>
      <c r="F42" s="275">
        <f>+'SITUACION COMERCIAL'!AB45</f>
        <v/>
      </c>
      <c r="G42" s="132" t="n"/>
      <c r="H42" s="133">
        <f>+G42*0.1</f>
        <v/>
      </c>
      <c r="I42" s="402">
        <f>+H42+G42</f>
        <v/>
      </c>
      <c r="J42" s="134" t="n"/>
      <c r="K42" s="134" t="n"/>
      <c r="L42" s="294" t="n">
        <v>20</v>
      </c>
      <c r="M42" s="390" t="n"/>
      <c r="N42" s="390">
        <f>+'TOTAL OPERACION'!R43</f>
        <v/>
      </c>
      <c r="O42" s="567">
        <f>N42*0.1</f>
        <v/>
      </c>
      <c r="P42" s="567">
        <f>N42+O42</f>
        <v/>
      </c>
      <c r="Q42" s="568">
        <f>N42+G42</f>
        <v/>
      </c>
      <c r="R42" s="568">
        <f>P42+I42</f>
        <v/>
      </c>
    </row>
    <row r="43" ht="14.25" customHeight="1" thickBot="1">
      <c r="B43" s="137">
        <f>+B42+1</f>
        <v/>
      </c>
      <c r="C43" s="138" t="n">
        <v>2</v>
      </c>
      <c r="D43" s="139" t="inlineStr">
        <is>
          <t>BAJA</t>
        </is>
      </c>
      <c r="E43" s="140" t="inlineStr">
        <is>
          <t>E</t>
        </is>
      </c>
      <c r="F43" s="277">
        <f>+'SITUACION COMERCIAL'!AB46</f>
        <v/>
      </c>
      <c r="G43" s="142" t="n">
        <v>875</v>
      </c>
      <c r="H43" s="143">
        <f>+G43*0.1</f>
        <v/>
      </c>
      <c r="I43" s="403">
        <f>+H43+G43</f>
        <v/>
      </c>
      <c r="J43" s="227">
        <f>+I43*0.4-0.1</f>
        <v/>
      </c>
      <c r="K43" s="227">
        <f>+M43*19</f>
        <v/>
      </c>
      <c r="L43" s="296" t="n">
        <v>19</v>
      </c>
      <c r="M43" s="391" t="n">
        <v>30.4</v>
      </c>
      <c r="N43" s="391">
        <f>+'TOTAL OPERACION'!R44</f>
        <v/>
      </c>
      <c r="O43" s="569">
        <f>N43*0.1</f>
        <v/>
      </c>
      <c r="P43" s="569">
        <f>N43+O43</f>
        <v/>
      </c>
      <c r="Q43" s="570">
        <f>N43+G43</f>
        <v/>
      </c>
      <c r="R43" s="570">
        <f>P43+I43</f>
        <v/>
      </c>
    </row>
    <row r="44" ht="14.25" customHeight="1">
      <c r="B44" s="145">
        <f>+B43+1</f>
        <v/>
      </c>
      <c r="C44" s="122" t="n">
        <v>2</v>
      </c>
      <c r="D44" s="123" t="n">
        <v>1</v>
      </c>
      <c r="E44" s="123" t="inlineStr">
        <is>
          <t>A</t>
        </is>
      </c>
      <c r="F44" s="274">
        <f>+'SITUACION COMERCIAL'!AB47</f>
        <v/>
      </c>
      <c r="G44" s="125" t="n">
        <v>0</v>
      </c>
      <c r="H44" s="126">
        <f>+G44*0.1</f>
        <v/>
      </c>
      <c r="I44" s="401">
        <f>+H44+G44</f>
        <v/>
      </c>
      <c r="J44" s="228" t="n"/>
      <c r="K44" s="228" t="n"/>
      <c r="L44" s="297" t="n">
        <v>20</v>
      </c>
      <c r="M44" s="389" t="n"/>
      <c r="N44" s="389">
        <f>+'TOTAL OPERACION'!R45</f>
        <v/>
      </c>
      <c r="O44" s="565">
        <f>N44*0.1</f>
        <v/>
      </c>
      <c r="P44" s="565">
        <f>N44+O44</f>
        <v/>
      </c>
      <c r="Q44" s="566">
        <f>N44+G44</f>
        <v/>
      </c>
      <c r="R44" s="566">
        <f>P44+I44</f>
        <v/>
      </c>
    </row>
    <row r="45" ht="14.25" customHeight="1">
      <c r="B45" s="147">
        <f>+B44+1</f>
        <v/>
      </c>
      <c r="C45" s="148" t="n">
        <v>2</v>
      </c>
      <c r="D45" s="131" t="n">
        <v>1</v>
      </c>
      <c r="E45" s="131" t="inlineStr">
        <is>
          <t>B</t>
        </is>
      </c>
      <c r="F45" s="275">
        <f>+'SITUACION COMERCIAL'!AB48</f>
        <v/>
      </c>
      <c r="G45" s="150" t="n">
        <v>1855</v>
      </c>
      <c r="H45" s="133">
        <f>+G45*0.1</f>
        <v/>
      </c>
      <c r="I45" s="402">
        <f>+H45+G45</f>
        <v/>
      </c>
      <c r="J45" s="226">
        <f>+I45*0.4+0.13</f>
        <v/>
      </c>
      <c r="K45" s="226">
        <f>+M45*L45</f>
        <v/>
      </c>
      <c r="L45" s="295" t="n">
        <v>19</v>
      </c>
      <c r="M45" s="390" t="n">
        <v>64.43000000000001</v>
      </c>
      <c r="N45" s="390">
        <f>+'TOTAL OPERACION'!R46</f>
        <v/>
      </c>
      <c r="O45" s="567">
        <f>N45*0.1</f>
        <v/>
      </c>
      <c r="P45" s="567">
        <f>N45+O45</f>
        <v/>
      </c>
      <c r="Q45" s="568">
        <f>N45+G45</f>
        <v/>
      </c>
      <c r="R45" s="568">
        <f>P45+I45</f>
        <v/>
      </c>
    </row>
    <row r="46" ht="14.25" customHeight="1">
      <c r="B46" s="128">
        <f>+B45+1</f>
        <v/>
      </c>
      <c r="C46" s="129" t="n">
        <v>2</v>
      </c>
      <c r="D46" s="135" t="n">
        <v>1</v>
      </c>
      <c r="E46" s="130" t="inlineStr">
        <is>
          <t>C</t>
        </is>
      </c>
      <c r="F46" s="528">
        <f>+'SITUACION COMERCIAL'!AB49</f>
        <v/>
      </c>
      <c r="G46" s="132" t="n">
        <v>290</v>
      </c>
      <c r="H46" s="133">
        <f>+G46*0.1</f>
        <v/>
      </c>
      <c r="I46" s="402">
        <f>+H46+G46</f>
        <v/>
      </c>
      <c r="J46" s="250" t="n">
        <v>319</v>
      </c>
      <c r="K46" s="250" t="n"/>
      <c r="L46" s="135" t="n"/>
      <c r="M46" s="390" t="n"/>
      <c r="N46" s="390">
        <f>+'TOTAL OPERACION'!R47</f>
        <v/>
      </c>
      <c r="O46" s="567">
        <f>N46*0.1</f>
        <v/>
      </c>
      <c r="P46" s="567">
        <f>N46+O46</f>
        <v/>
      </c>
      <c r="Q46" s="568">
        <f>N46+G46</f>
        <v/>
      </c>
      <c r="R46" s="568">
        <f>P46+I46</f>
        <v/>
      </c>
    </row>
    <row r="47" ht="14.25" customHeight="1">
      <c r="B47" s="128">
        <f>+B46+1</f>
        <v/>
      </c>
      <c r="C47" s="129" t="n">
        <v>2</v>
      </c>
      <c r="D47" s="130" t="n">
        <v>1</v>
      </c>
      <c r="E47" s="130" t="inlineStr">
        <is>
          <t>D</t>
        </is>
      </c>
      <c r="F47" s="528">
        <f>+'SITUACION COMERCIAL'!AB50</f>
        <v/>
      </c>
      <c r="G47" s="587" t="n">
        <v>1615</v>
      </c>
      <c r="H47" s="133">
        <f>+G47*0.1</f>
        <v/>
      </c>
      <c r="I47" s="402">
        <f>+H47+G47</f>
        <v/>
      </c>
      <c r="J47" s="226">
        <f>+I47*0.4</f>
        <v/>
      </c>
      <c r="K47" s="226">
        <f>+I47-J47</f>
        <v/>
      </c>
      <c r="L47" s="295" t="n">
        <v>19</v>
      </c>
      <c r="M47" s="390">
        <f>+K47/L47</f>
        <v/>
      </c>
      <c r="N47" s="390">
        <f>+'TOTAL OPERACION'!R48</f>
        <v/>
      </c>
      <c r="O47" s="567">
        <f>N47*0.1</f>
        <v/>
      </c>
      <c r="P47" s="567">
        <f>N47+O47</f>
        <v/>
      </c>
      <c r="Q47" s="568">
        <f>N47+G47</f>
        <v/>
      </c>
      <c r="R47" s="568">
        <f>P47+I47</f>
        <v/>
      </c>
    </row>
    <row r="48" ht="14.25" customHeight="1" thickBot="1">
      <c r="B48" s="137">
        <f>+B47+1</f>
        <v/>
      </c>
      <c r="C48" s="138" t="n">
        <v>2</v>
      </c>
      <c r="D48" s="151" t="n">
        <v>1</v>
      </c>
      <c r="E48" s="140" t="inlineStr">
        <is>
          <t>E</t>
        </is>
      </c>
      <c r="F48" s="277">
        <f>+'SITUACION COMERCIAL'!AB51</f>
        <v/>
      </c>
      <c r="G48" s="142" t="n"/>
      <c r="H48" s="143">
        <f>+G48*0.1</f>
        <v/>
      </c>
      <c r="I48" s="403">
        <f>+H48+G48</f>
        <v/>
      </c>
      <c r="J48" s="230" t="n"/>
      <c r="K48" s="230" t="n"/>
      <c r="L48" s="298" t="n">
        <v>20</v>
      </c>
      <c r="M48" s="391" t="n"/>
      <c r="N48" s="391">
        <f>+'TOTAL OPERACION'!R49</f>
        <v/>
      </c>
      <c r="O48" s="569">
        <f>N48*0.1</f>
        <v/>
      </c>
      <c r="P48" s="569">
        <f>N48+O48</f>
        <v/>
      </c>
      <c r="Q48" s="570">
        <f>N48+G48</f>
        <v/>
      </c>
      <c r="R48" s="570">
        <f>P48+I48</f>
        <v/>
      </c>
    </row>
    <row r="49" ht="14.25" customHeight="1">
      <c r="B49" s="147">
        <f>+B48+1</f>
        <v/>
      </c>
      <c r="C49" s="148" t="n">
        <v>2</v>
      </c>
      <c r="D49" s="131" t="n">
        <v>2</v>
      </c>
      <c r="E49" s="131" t="inlineStr">
        <is>
          <t>A</t>
        </is>
      </c>
      <c r="F49" s="275">
        <f>+'SITUACION COMERCIAL'!AB52</f>
        <v/>
      </c>
      <c r="G49" s="150" t="n">
        <v>2905</v>
      </c>
      <c r="H49" s="126">
        <f>+G49*0.1</f>
        <v/>
      </c>
      <c r="I49" s="401">
        <f>+H49+G49</f>
        <v/>
      </c>
      <c r="J49" s="231" t="n">
        <v>1278.4</v>
      </c>
      <c r="K49" s="231">
        <f>+L49*M49</f>
        <v/>
      </c>
      <c r="L49" s="299" t="n">
        <v>19</v>
      </c>
      <c r="M49" s="389" t="n">
        <v>100.9</v>
      </c>
      <c r="N49" s="389">
        <f>+'TOTAL OPERACION'!R50</f>
        <v/>
      </c>
      <c r="O49" s="565">
        <f>N49*0.1</f>
        <v/>
      </c>
      <c r="P49" s="565">
        <f>N49+O49</f>
        <v/>
      </c>
      <c r="Q49" s="566">
        <f>N49+G49</f>
        <v/>
      </c>
      <c r="R49" s="566">
        <f>P49+I49</f>
        <v/>
      </c>
    </row>
    <row r="50" ht="14.25" customHeight="1">
      <c r="B50" s="147">
        <f>+B49+1</f>
        <v/>
      </c>
      <c r="C50" s="148" t="n">
        <v>2</v>
      </c>
      <c r="D50" s="156" t="n">
        <v>2</v>
      </c>
      <c r="E50" s="157" t="inlineStr">
        <is>
          <t>B</t>
        </is>
      </c>
      <c r="F50" s="278">
        <f>+'SITUACION COMERCIAL'!AB53</f>
        <v/>
      </c>
      <c r="G50" s="150" t="n">
        <v>535</v>
      </c>
      <c r="H50" s="133">
        <f>+G50*0.1</f>
        <v/>
      </c>
      <c r="I50" s="402">
        <f>+H50+G50</f>
        <v/>
      </c>
      <c r="J50" s="226">
        <f>+I50</f>
        <v/>
      </c>
      <c r="K50" s="226" t="n"/>
      <c r="L50" s="295" t="n">
        <v>20</v>
      </c>
      <c r="M50" s="390" t="n"/>
      <c r="N50" s="390">
        <f>+'TOTAL OPERACION'!R51</f>
        <v/>
      </c>
      <c r="O50" s="567">
        <f>N50*0.1</f>
        <v/>
      </c>
      <c r="P50" s="567">
        <f>N50+O50</f>
        <v/>
      </c>
      <c r="Q50" s="568">
        <f>N50+G50</f>
        <v/>
      </c>
      <c r="R50" s="568">
        <f>P50+I50</f>
        <v/>
      </c>
    </row>
    <row r="51" ht="14.25" customHeight="1">
      <c r="B51" s="159">
        <f>+B50+1</f>
        <v/>
      </c>
      <c r="C51" s="160" t="n">
        <v>2</v>
      </c>
      <c r="D51" s="161" t="n">
        <v>2</v>
      </c>
      <c r="E51" s="162" t="inlineStr">
        <is>
          <t>C</t>
        </is>
      </c>
      <c r="F51" s="279">
        <f>+'SITUACION COMERCIAL'!AB54</f>
        <v/>
      </c>
      <c r="G51" s="150" t="n"/>
      <c r="H51" s="133">
        <f>+G51*0.1</f>
        <v/>
      </c>
      <c r="I51" s="402">
        <f>+H51+G51</f>
        <v/>
      </c>
      <c r="J51" s="229" t="n"/>
      <c r="K51" s="229" t="n"/>
      <c r="L51" s="300" t="n">
        <v>20</v>
      </c>
      <c r="M51" s="390" t="n"/>
      <c r="N51" s="390">
        <f>+'TOTAL OPERACION'!R52</f>
        <v/>
      </c>
      <c r="O51" s="567">
        <f>N51*0.1</f>
        <v/>
      </c>
      <c r="P51" s="567">
        <f>N51+O51</f>
        <v/>
      </c>
      <c r="Q51" s="568">
        <f>N51+G51</f>
        <v/>
      </c>
      <c r="R51" s="568">
        <f>P51+I51</f>
        <v/>
      </c>
    </row>
    <row r="52" ht="14.25" customHeight="1">
      <c r="B52" s="128">
        <f>+B51+1</f>
        <v/>
      </c>
      <c r="C52" s="129" t="n">
        <v>2</v>
      </c>
      <c r="D52" s="135" t="n">
        <v>2</v>
      </c>
      <c r="E52" s="130" t="inlineStr">
        <is>
          <t>D</t>
        </is>
      </c>
      <c r="F52" s="528">
        <f>+'SITUACION COMERCIAL'!AB55</f>
        <v/>
      </c>
      <c r="G52" s="150" t="n">
        <v>0</v>
      </c>
      <c r="H52" s="133">
        <f>+G52*0.1</f>
        <v/>
      </c>
      <c r="I52" s="402">
        <f>+H52+G52</f>
        <v/>
      </c>
      <c r="J52" s="226" t="n"/>
      <c r="K52" s="226" t="n"/>
      <c r="L52" s="295" t="n">
        <v>20</v>
      </c>
      <c r="M52" s="390" t="n"/>
      <c r="N52" s="390">
        <f>+'TOTAL OPERACION'!R53</f>
        <v/>
      </c>
      <c r="O52" s="567">
        <f>N52*0.1</f>
        <v/>
      </c>
      <c r="P52" s="567">
        <f>N52+O52</f>
        <v/>
      </c>
      <c r="Q52" s="568">
        <f>N52+G52</f>
        <v/>
      </c>
      <c r="R52" s="568">
        <f>P52+I52</f>
        <v/>
      </c>
    </row>
    <row r="53" ht="14.25" customHeight="1" thickBot="1">
      <c r="B53" s="137">
        <f>+B52+1</f>
        <v/>
      </c>
      <c r="C53" s="138" t="n">
        <v>2</v>
      </c>
      <c r="D53" s="139" t="n">
        <v>2</v>
      </c>
      <c r="E53" s="140" t="inlineStr">
        <is>
          <t>E</t>
        </is>
      </c>
      <c r="F53" s="277">
        <f>+'SITUACION COMERCIAL'!AB56</f>
        <v/>
      </c>
      <c r="G53" s="167" t="n"/>
      <c r="H53" s="143">
        <f>+G53*0.1</f>
        <v/>
      </c>
      <c r="I53" s="403">
        <f>+H53+G53</f>
        <v/>
      </c>
      <c r="J53" s="262" t="n"/>
      <c r="K53" s="262" t="n"/>
      <c r="L53" s="301" t="n">
        <v>20</v>
      </c>
      <c r="M53" s="391" t="n"/>
      <c r="N53" s="391">
        <f>+'TOTAL OPERACION'!R54</f>
        <v/>
      </c>
      <c r="O53" s="569">
        <f>N53*0.1</f>
        <v/>
      </c>
      <c r="P53" s="569">
        <f>N53+O53</f>
        <v/>
      </c>
      <c r="Q53" s="570">
        <f>N53+G53</f>
        <v/>
      </c>
      <c r="R53" s="570">
        <f>P53+I53</f>
        <v/>
      </c>
    </row>
    <row r="54" ht="14.25" customHeight="1">
      <c r="B54" s="168">
        <f>+B53+1</f>
        <v/>
      </c>
      <c r="C54" s="169" t="n">
        <v>2</v>
      </c>
      <c r="D54" s="156" t="n">
        <v>3</v>
      </c>
      <c r="E54" s="170" t="inlineStr">
        <is>
          <t>A</t>
        </is>
      </c>
      <c r="F54" s="278">
        <f>+'SITUACION COMERCIAL'!AB57</f>
        <v/>
      </c>
      <c r="G54" s="150" t="n">
        <v>1555</v>
      </c>
      <c r="H54" s="126">
        <f>+G54*0.1</f>
        <v/>
      </c>
      <c r="I54" s="401">
        <f>+H54+G54</f>
        <v/>
      </c>
      <c r="J54" s="228" t="n">
        <v>684.5</v>
      </c>
      <c r="K54" s="228" t="n">
        <v>1026</v>
      </c>
      <c r="L54" s="297" t="n">
        <v>19</v>
      </c>
      <c r="M54" s="389">
        <f>+K54/L54</f>
        <v/>
      </c>
      <c r="N54" s="389">
        <f>+'TOTAL OPERACION'!R55</f>
        <v/>
      </c>
      <c r="O54" s="565">
        <f>N54*0.1</f>
        <v/>
      </c>
      <c r="P54" s="565">
        <f>N54+O54</f>
        <v/>
      </c>
      <c r="Q54" s="566">
        <f>N54+G54</f>
        <v/>
      </c>
      <c r="R54" s="566">
        <f>P54+I54</f>
        <v/>
      </c>
    </row>
    <row r="55" ht="14.25" customHeight="1">
      <c r="B55" s="168">
        <f>+B54+1</f>
        <v/>
      </c>
      <c r="C55" s="169" t="n">
        <v>2</v>
      </c>
      <c r="D55" s="156" t="n">
        <v>3</v>
      </c>
      <c r="E55" s="170" t="inlineStr">
        <is>
          <t>B</t>
        </is>
      </c>
      <c r="F55" s="278">
        <f>+'SITUACION COMERCIAL'!AB58</f>
        <v/>
      </c>
      <c r="G55" s="150" t="n">
        <v>2150</v>
      </c>
      <c r="H55" s="133">
        <f>+G55*0.1</f>
        <v/>
      </c>
      <c r="I55" s="402">
        <f>+H55+G55</f>
        <v/>
      </c>
      <c r="J55" s="226" t="n">
        <v>946.08</v>
      </c>
      <c r="K55" s="226">
        <f>+L55*M55</f>
        <v/>
      </c>
      <c r="L55" s="295" t="n">
        <v>19</v>
      </c>
      <c r="M55" s="390" t="n">
        <v>74.68000000000001</v>
      </c>
      <c r="N55" s="390">
        <f>+'TOTAL OPERACION'!R56</f>
        <v/>
      </c>
      <c r="O55" s="567">
        <f>N55*0.1</f>
        <v/>
      </c>
      <c r="P55" s="567">
        <f>N55+O55</f>
        <v/>
      </c>
      <c r="Q55" s="568">
        <f>N55+G55</f>
        <v/>
      </c>
      <c r="R55" s="568">
        <f>P55+I55</f>
        <v/>
      </c>
    </row>
    <row r="56" ht="14.25" customHeight="1">
      <c r="B56" s="171">
        <f>+B55+1</f>
        <v/>
      </c>
      <c r="C56" s="129" t="n">
        <v>2</v>
      </c>
      <c r="D56" s="135" t="n">
        <v>3</v>
      </c>
      <c r="E56" s="130" t="inlineStr">
        <is>
          <t>C</t>
        </is>
      </c>
      <c r="F56" s="528">
        <f>+'SITUACION COMERCIAL'!AB59</f>
        <v/>
      </c>
      <c r="G56" s="150" t="n">
        <v>2335</v>
      </c>
      <c r="H56" s="133">
        <f>+G56*0.1</f>
        <v/>
      </c>
      <c r="I56" s="402">
        <f>+H56+G56</f>
        <v/>
      </c>
      <c r="J56" s="232" t="n">
        <v>1104.55</v>
      </c>
      <c r="K56" s="232">
        <f>+I56-J56</f>
        <v/>
      </c>
      <c r="L56" s="302" t="n">
        <v>19</v>
      </c>
      <c r="M56" s="390">
        <f>+K56/L56</f>
        <v/>
      </c>
      <c r="N56" s="390">
        <f>+'TOTAL OPERACION'!R57</f>
        <v/>
      </c>
      <c r="O56" s="567">
        <f>N56*0.1</f>
        <v/>
      </c>
      <c r="P56" s="567">
        <f>N56+O56</f>
        <v/>
      </c>
      <c r="Q56" s="568">
        <f>N56+G56</f>
        <v/>
      </c>
      <c r="R56" s="568">
        <f>P56+I56</f>
        <v/>
      </c>
    </row>
    <row r="57" ht="14.25" customHeight="1">
      <c r="B57" s="128">
        <f>+B56+1</f>
        <v/>
      </c>
      <c r="C57" s="129" t="n">
        <v>2</v>
      </c>
      <c r="D57" s="135" t="n">
        <v>3</v>
      </c>
      <c r="E57" s="130" t="inlineStr">
        <is>
          <t>D</t>
        </is>
      </c>
      <c r="F57" s="528">
        <f>+'SITUACION COMERCIAL'!AB60</f>
        <v/>
      </c>
      <c r="G57" s="150" t="n"/>
      <c r="H57" s="133">
        <f>+G57*0.1</f>
        <v/>
      </c>
      <c r="I57" s="402">
        <f>+H57+G57</f>
        <v/>
      </c>
      <c r="J57" s="226" t="n"/>
      <c r="K57" s="226" t="n"/>
      <c r="L57" s="295" t="n">
        <v>20</v>
      </c>
      <c r="M57" s="390" t="n"/>
      <c r="N57" s="390">
        <f>+'TOTAL OPERACION'!R58</f>
        <v/>
      </c>
      <c r="O57" s="567">
        <f>N57*0.1</f>
        <v/>
      </c>
      <c r="P57" s="567">
        <f>N57+O57</f>
        <v/>
      </c>
      <c r="Q57" s="568">
        <f>N57+G57</f>
        <v/>
      </c>
      <c r="R57" s="568">
        <f>P57+I57</f>
        <v/>
      </c>
    </row>
    <row r="58" ht="14.25" customHeight="1" thickBot="1">
      <c r="B58" s="172">
        <f>+B57+1</f>
        <v/>
      </c>
      <c r="C58" s="173" t="n">
        <v>2</v>
      </c>
      <c r="D58" s="174" t="n">
        <v>3</v>
      </c>
      <c r="E58" s="175" t="inlineStr">
        <is>
          <t>E</t>
        </is>
      </c>
      <c r="F58" s="280">
        <f>+'SITUACION COMERCIAL'!AB61</f>
        <v/>
      </c>
      <c r="G58" s="180" t="n">
        <v>1785</v>
      </c>
      <c r="H58" s="181">
        <f>+G58*0.1</f>
        <v/>
      </c>
      <c r="I58" s="404">
        <f>+H58+G58</f>
        <v/>
      </c>
      <c r="J58" s="378" t="n">
        <v>785.5</v>
      </c>
      <c r="K58" s="378" t="n"/>
      <c r="L58" s="174" t="n">
        <v>19</v>
      </c>
      <c r="M58" s="392" t="n">
        <v>62</v>
      </c>
      <c r="N58" s="392">
        <f>+'TOTAL OPERACION'!R59</f>
        <v/>
      </c>
      <c r="O58" s="571">
        <f>N58*0.1</f>
        <v/>
      </c>
      <c r="P58" s="571">
        <f>N58+O58</f>
        <v/>
      </c>
      <c r="Q58" s="572">
        <f>N58+G58</f>
        <v/>
      </c>
      <c r="R58" s="572">
        <f>P58+I58</f>
        <v/>
      </c>
    </row>
    <row r="59" ht="14.25" customHeight="1">
      <c r="B59" s="16">
        <f>+B58+1</f>
        <v/>
      </c>
      <c r="C59" s="17" t="n">
        <v>3</v>
      </c>
      <c r="D59" s="183" t="inlineStr">
        <is>
          <t>BAJA</t>
        </is>
      </c>
      <c r="E59" s="18" t="inlineStr">
        <is>
          <t>A</t>
        </is>
      </c>
      <c r="F59" s="281">
        <f>+'SITUACION COMERCIAL'!AB62</f>
        <v/>
      </c>
      <c r="G59" s="185" t="n">
        <v>560</v>
      </c>
      <c r="H59" s="66">
        <f>+G59*0.1</f>
        <v/>
      </c>
      <c r="I59" s="399">
        <f>+H59+G59</f>
        <v/>
      </c>
      <c r="J59" s="97">
        <f>+I59</f>
        <v/>
      </c>
      <c r="K59" s="97" t="n"/>
      <c r="L59" s="290" t="n">
        <v>0</v>
      </c>
      <c r="M59" s="387" t="n"/>
      <c r="N59" s="387">
        <f>+'TOTAL OPERACION'!R60</f>
        <v/>
      </c>
      <c r="O59" s="561">
        <f>N59*0.1</f>
        <v/>
      </c>
      <c r="P59" s="561">
        <f>N59+O59</f>
        <v/>
      </c>
      <c r="Q59" s="562">
        <f>N59+G59</f>
        <v/>
      </c>
      <c r="R59" s="562">
        <f>P59+I59</f>
        <v/>
      </c>
    </row>
    <row r="60" ht="14.25" customHeight="1">
      <c r="B60" s="34">
        <f>+B59+1</f>
        <v/>
      </c>
      <c r="C60" s="35" t="n">
        <v>3</v>
      </c>
      <c r="D60" s="186" t="inlineStr">
        <is>
          <t>BAJA</t>
        </is>
      </c>
      <c r="E60" s="100" t="inlineStr">
        <is>
          <t>B</t>
        </is>
      </c>
      <c r="F60" s="282">
        <f>+'SITUACION COMERCIAL'!AB63</f>
        <v/>
      </c>
      <c r="G60" s="188" t="n"/>
      <c r="H60" s="40">
        <f>+G60*0.1</f>
        <v/>
      </c>
      <c r="I60" s="397">
        <f>+H60+G60</f>
        <v/>
      </c>
      <c r="J60" s="42" t="n"/>
      <c r="K60" s="42" t="n"/>
      <c r="L60" s="291" t="n">
        <v>20</v>
      </c>
      <c r="M60" s="385" t="n"/>
      <c r="N60" s="385">
        <f>+'TOTAL OPERACION'!R61</f>
        <v/>
      </c>
      <c r="O60" s="557">
        <f>N60*0.1</f>
        <v/>
      </c>
      <c r="P60" s="557">
        <f>N60+O60</f>
        <v/>
      </c>
      <c r="Q60" s="558">
        <f>N60+G60</f>
        <v/>
      </c>
      <c r="R60" s="558">
        <f>P60+I60</f>
        <v/>
      </c>
    </row>
    <row r="61" ht="14.25" customHeight="1">
      <c r="B61" s="34">
        <f>+B60+1</f>
        <v/>
      </c>
      <c r="C61" s="35" t="n">
        <v>3</v>
      </c>
      <c r="D61" s="186" t="inlineStr">
        <is>
          <t>BAJA</t>
        </is>
      </c>
      <c r="E61" s="100" t="inlineStr">
        <is>
          <t>C</t>
        </is>
      </c>
      <c r="F61" s="282">
        <f>+'SITUACION COMERCIAL'!AB64</f>
        <v/>
      </c>
      <c r="G61" s="188" t="n">
        <v>5475</v>
      </c>
      <c r="H61" s="40">
        <f>+G61*0.1</f>
        <v/>
      </c>
      <c r="I61" s="397">
        <f>+H61+G61</f>
        <v/>
      </c>
      <c r="J61" s="70" t="n">
        <v>2503.7</v>
      </c>
      <c r="K61" s="70">
        <f>+L61*M61</f>
        <v/>
      </c>
      <c r="L61" s="186" t="n">
        <v>19</v>
      </c>
      <c r="M61" s="385" t="n">
        <v>185.2</v>
      </c>
      <c r="N61" s="385">
        <f>+'TOTAL OPERACION'!R62</f>
        <v/>
      </c>
      <c r="O61" s="557">
        <f>N61*0.1</f>
        <v/>
      </c>
      <c r="P61" s="557">
        <f>N61+O61</f>
        <v/>
      </c>
      <c r="Q61" s="558">
        <f>N61+G61</f>
        <v/>
      </c>
      <c r="R61" s="558">
        <f>P61+I61</f>
        <v/>
      </c>
    </row>
    <row r="62" ht="14.25" customHeight="1" thickBot="1">
      <c r="B62" s="80">
        <f>+B61+1</f>
        <v/>
      </c>
      <c r="C62" s="81" t="n">
        <v>3</v>
      </c>
      <c r="D62" s="191" t="inlineStr">
        <is>
          <t>BAJA</t>
        </is>
      </c>
      <c r="E62" s="82" t="inlineStr">
        <is>
          <t>D</t>
        </is>
      </c>
      <c r="F62" s="283">
        <f>+'SITUACION COMERCIAL'!AB65</f>
        <v/>
      </c>
      <c r="G62" s="56" t="n">
        <v>3460</v>
      </c>
      <c r="H62" s="57">
        <f>+G62*0.1</f>
        <v/>
      </c>
      <c r="I62" s="398">
        <f>+H62+G62</f>
        <v/>
      </c>
      <c r="J62" s="96" t="n">
        <v>1552.52</v>
      </c>
      <c r="K62" s="96" t="n"/>
      <c r="L62" s="412" t="n">
        <v>18</v>
      </c>
      <c r="M62" s="427">
        <f>+(I62-J62)/L62</f>
        <v/>
      </c>
      <c r="N62" s="386">
        <f>+'TOTAL OPERACION'!R63</f>
        <v/>
      </c>
      <c r="O62" s="559">
        <f>N62*0.1</f>
        <v/>
      </c>
      <c r="P62" s="559">
        <f>N62+O62</f>
        <v/>
      </c>
      <c r="Q62" s="560">
        <f>N62+G62</f>
        <v/>
      </c>
      <c r="R62" s="560">
        <f>P62+I62</f>
        <v/>
      </c>
    </row>
    <row r="63" ht="14.25" customHeight="1">
      <c r="B63" s="193">
        <f>+B62+1</f>
        <v/>
      </c>
      <c r="C63" s="59" t="n">
        <v>3</v>
      </c>
      <c r="D63" s="194" t="n">
        <v>1</v>
      </c>
      <c r="E63" s="60" t="inlineStr">
        <is>
          <t>A</t>
        </is>
      </c>
      <c r="F63" s="284">
        <f>+'SITUACION COMERCIAL'!AB66</f>
        <v/>
      </c>
      <c r="G63" s="197" t="n">
        <v>495</v>
      </c>
      <c r="H63" s="66">
        <f>+G63*0.1</f>
        <v/>
      </c>
      <c r="I63" s="399">
        <f>+H63+G63</f>
        <v/>
      </c>
      <c r="J63" s="198">
        <f>+I63-K63</f>
        <v/>
      </c>
      <c r="K63" s="198" t="n">
        <v>326.8</v>
      </c>
      <c r="L63" s="194" t="n">
        <v>19</v>
      </c>
      <c r="M63" s="393">
        <f>+K63/L63</f>
        <v/>
      </c>
      <c r="N63" s="393">
        <f>+'TOTAL OPERACION'!R64</f>
        <v/>
      </c>
      <c r="O63" s="561">
        <f>N63*0.1</f>
        <v/>
      </c>
      <c r="P63" s="561">
        <f>N63+O63</f>
        <v/>
      </c>
      <c r="Q63" s="562">
        <f>N63+G63</f>
        <v/>
      </c>
      <c r="R63" s="562">
        <f>P63+I63</f>
        <v/>
      </c>
    </row>
    <row r="64" ht="14.25" customHeight="1">
      <c r="B64" s="34">
        <f>+B63+1</f>
        <v/>
      </c>
      <c r="C64" s="35" t="n">
        <v>3</v>
      </c>
      <c r="D64" s="186" t="n">
        <v>1</v>
      </c>
      <c r="E64" s="100" t="inlineStr">
        <is>
          <t>B</t>
        </is>
      </c>
      <c r="F64" s="282">
        <f>+'SITUACION COMERCIAL'!AB67</f>
        <v/>
      </c>
      <c r="G64" s="188" t="n">
        <v>95</v>
      </c>
      <c r="H64" s="40">
        <f>+G64*0.1</f>
        <v/>
      </c>
      <c r="I64" s="397">
        <f>+H64+G64</f>
        <v/>
      </c>
      <c r="J64" s="42">
        <f>+I64</f>
        <v/>
      </c>
      <c r="K64" s="42" t="n"/>
      <c r="L64" s="291" t="n">
        <v>20</v>
      </c>
      <c r="M64" s="385" t="n"/>
      <c r="N64" s="385">
        <f>+'TOTAL OPERACION'!R65</f>
        <v/>
      </c>
      <c r="O64" s="557">
        <f>N64*0.1</f>
        <v/>
      </c>
      <c r="P64" s="557">
        <f>N64+O64</f>
        <v/>
      </c>
      <c r="Q64" s="558">
        <f>N64+G64</f>
        <v/>
      </c>
      <c r="R64" s="558">
        <f>P64+I64</f>
        <v/>
      </c>
    </row>
    <row r="65" ht="14.25" customHeight="1">
      <c r="B65" s="34">
        <f>+B64+1</f>
        <v/>
      </c>
      <c r="C65" s="35" t="n">
        <v>3</v>
      </c>
      <c r="D65" s="186" t="n">
        <v>1</v>
      </c>
      <c r="E65" s="100" t="inlineStr">
        <is>
          <t>C</t>
        </is>
      </c>
      <c r="F65" s="282">
        <f>+'SITUACION COMERCIAL'!AB68</f>
        <v/>
      </c>
      <c r="G65" s="188" t="n"/>
      <c r="H65" s="40">
        <f>+G65*0.1</f>
        <v/>
      </c>
      <c r="I65" s="397">
        <f>+H65+G65</f>
        <v/>
      </c>
      <c r="J65" s="42" t="n"/>
      <c r="K65" s="42" t="n"/>
      <c r="L65" s="291" t="n">
        <v>20</v>
      </c>
      <c r="M65" s="385" t="n"/>
      <c r="N65" s="385">
        <f>+'TOTAL OPERACION'!R66</f>
        <v/>
      </c>
      <c r="O65" s="557">
        <f>N65*0.1</f>
        <v/>
      </c>
      <c r="P65" s="557">
        <f>N65+O65</f>
        <v/>
      </c>
      <c r="Q65" s="558">
        <f>N65+G65</f>
        <v/>
      </c>
      <c r="R65" s="558">
        <f>P65+I65</f>
        <v/>
      </c>
    </row>
    <row r="66" ht="14.25" customHeight="1" thickBot="1">
      <c r="B66" s="34">
        <f>+B65+1</f>
        <v/>
      </c>
      <c r="C66" s="81" t="n">
        <v>3</v>
      </c>
      <c r="D66" s="191" t="n">
        <v>1</v>
      </c>
      <c r="E66" s="82" t="inlineStr">
        <is>
          <t>D</t>
        </is>
      </c>
      <c r="F66" s="283">
        <f>+'SITUACION COMERCIAL'!AB69</f>
        <v/>
      </c>
      <c r="G66" s="56" t="n"/>
      <c r="H66" s="57">
        <f>+G66*0.1</f>
        <v/>
      </c>
      <c r="I66" s="398">
        <f>+H66+G66</f>
        <v/>
      </c>
      <c r="J66" s="58" t="n"/>
      <c r="K66" s="58" t="n"/>
      <c r="L66" s="289" t="n">
        <v>20</v>
      </c>
      <c r="M66" s="386" t="n"/>
      <c r="N66" s="386">
        <f>+'TOTAL OPERACION'!R67</f>
        <v/>
      </c>
      <c r="O66" s="559">
        <f>N66*0.1</f>
        <v/>
      </c>
      <c r="P66" s="559">
        <f>N66+O66</f>
        <v/>
      </c>
      <c r="Q66" s="560">
        <f>N66+G66</f>
        <v/>
      </c>
      <c r="R66" s="560">
        <f>P66+I66</f>
        <v/>
      </c>
    </row>
    <row r="67" ht="14.25" customHeight="1">
      <c r="B67" s="34">
        <f>+B66+1</f>
        <v/>
      </c>
      <c r="C67" s="59" t="n">
        <v>3</v>
      </c>
      <c r="D67" s="194" t="n">
        <v>2</v>
      </c>
      <c r="E67" s="60" t="inlineStr">
        <is>
          <t>A</t>
        </is>
      </c>
      <c r="F67" s="284">
        <f>+'SITUACION COMERCIAL'!AB70</f>
        <v/>
      </c>
      <c r="G67" s="197" t="n"/>
      <c r="H67" s="66">
        <f>+G67*0.1</f>
        <v/>
      </c>
      <c r="I67" s="399">
        <f>+H67+G67</f>
        <v/>
      </c>
      <c r="J67" s="67" t="n"/>
      <c r="K67" s="67" t="n"/>
      <c r="L67" s="303" t="n">
        <v>20</v>
      </c>
      <c r="M67" s="387" t="n"/>
      <c r="N67" s="387">
        <f>+'TOTAL OPERACION'!R68</f>
        <v/>
      </c>
      <c r="O67" s="561">
        <f>N67*0.1</f>
        <v/>
      </c>
      <c r="P67" s="561">
        <f>N67+O67</f>
        <v/>
      </c>
      <c r="Q67" s="562">
        <f>N67+G67</f>
        <v/>
      </c>
      <c r="R67" s="562">
        <f>P67+I67</f>
        <v/>
      </c>
    </row>
    <row r="68" ht="14.25" customHeight="1">
      <c r="B68" s="34">
        <f>+B67+1</f>
        <v/>
      </c>
      <c r="C68" s="35" t="n">
        <v>3</v>
      </c>
      <c r="D68" s="186" t="n">
        <v>2</v>
      </c>
      <c r="E68" s="100" t="inlineStr">
        <is>
          <t>B</t>
        </is>
      </c>
      <c r="F68" s="282">
        <f>+'SITUACION COMERCIAL'!AB71</f>
        <v/>
      </c>
      <c r="G68" s="188" t="n">
        <v>2820</v>
      </c>
      <c r="H68" s="40">
        <f>+G68*0.1</f>
        <v/>
      </c>
      <c r="I68" s="397">
        <f>+H68+G68</f>
        <v/>
      </c>
      <c r="J68" s="41">
        <f>+I68*0.4+0.15</f>
        <v/>
      </c>
      <c r="K68" s="41">
        <f>97.95*19</f>
        <v/>
      </c>
      <c r="L68" s="288" t="n">
        <v>19</v>
      </c>
      <c r="M68" s="385">
        <f>+K68/L68</f>
        <v/>
      </c>
      <c r="N68" s="385">
        <f>+'TOTAL OPERACION'!R69</f>
        <v/>
      </c>
      <c r="O68" s="557">
        <f>N68*0.1</f>
        <v/>
      </c>
      <c r="P68" s="557">
        <f>N68+O68</f>
        <v/>
      </c>
      <c r="Q68" s="558">
        <f>N68+G68</f>
        <v/>
      </c>
      <c r="R68" s="558">
        <f>P68+I68</f>
        <v/>
      </c>
    </row>
    <row r="69" ht="14.25" customHeight="1">
      <c r="B69" s="34">
        <f>+B68+1</f>
        <v/>
      </c>
      <c r="C69" s="35" t="n">
        <v>3</v>
      </c>
      <c r="D69" s="186" t="n">
        <v>2</v>
      </c>
      <c r="E69" s="100" t="inlineStr">
        <is>
          <t>C</t>
        </is>
      </c>
      <c r="F69" s="282">
        <f>+'SITUACION COMERCIAL'!AB72</f>
        <v/>
      </c>
      <c r="G69" s="188" t="n"/>
      <c r="H69" s="40">
        <f>+G69*0.1</f>
        <v/>
      </c>
      <c r="I69" s="397">
        <f>+H69+G69</f>
        <v/>
      </c>
      <c r="J69" s="42" t="n"/>
      <c r="K69" s="42" t="n"/>
      <c r="L69" s="291" t="n">
        <v>20</v>
      </c>
      <c r="M69" s="385" t="n"/>
      <c r="N69" s="385">
        <f>+'TOTAL OPERACION'!R70</f>
        <v/>
      </c>
      <c r="O69" s="557">
        <f>N69*0.1</f>
        <v/>
      </c>
      <c r="P69" s="557">
        <f>N69+O69</f>
        <v/>
      </c>
      <c r="Q69" s="558">
        <f>N69+G69</f>
        <v/>
      </c>
      <c r="R69" s="558">
        <f>P69+I69</f>
        <v/>
      </c>
    </row>
    <row r="70" ht="14.25" customHeight="1" thickBot="1">
      <c r="B70" s="34">
        <f>+B69+1</f>
        <v/>
      </c>
      <c r="C70" s="81" t="n">
        <v>3</v>
      </c>
      <c r="D70" s="191" t="n">
        <v>2</v>
      </c>
      <c r="E70" s="82" t="inlineStr">
        <is>
          <t>D</t>
        </is>
      </c>
      <c r="F70" s="283">
        <f>+'SITUACION COMERCIAL'!AB73</f>
        <v/>
      </c>
      <c r="G70" s="56" t="n"/>
      <c r="H70" s="57">
        <f>+G70*0.1</f>
        <v/>
      </c>
      <c r="I70" s="398">
        <f>+H70+G70</f>
        <v/>
      </c>
      <c r="J70" s="58" t="n"/>
      <c r="K70" s="58" t="n"/>
      <c r="L70" s="289" t="n">
        <v>20</v>
      </c>
      <c r="M70" s="386" t="n"/>
      <c r="N70" s="386">
        <f>+'TOTAL OPERACION'!R71</f>
        <v/>
      </c>
      <c r="O70" s="559">
        <f>N70*0.1</f>
        <v/>
      </c>
      <c r="P70" s="559">
        <f>N70+O70</f>
        <v/>
      </c>
      <c r="Q70" s="560">
        <f>N70+G70</f>
        <v/>
      </c>
      <c r="R70" s="560">
        <f>P70+I70</f>
        <v/>
      </c>
    </row>
    <row r="71" ht="14.25" customHeight="1">
      <c r="B71" s="34">
        <f>+B70+1</f>
        <v/>
      </c>
      <c r="C71" s="59" t="n">
        <v>3</v>
      </c>
      <c r="D71" s="194" t="n">
        <v>3</v>
      </c>
      <c r="E71" s="60" t="inlineStr">
        <is>
          <t>A</t>
        </is>
      </c>
      <c r="F71" s="284">
        <f>+'SITUACION COMERCIAL'!AB74</f>
        <v/>
      </c>
      <c r="G71" s="197" t="n">
        <v>2420</v>
      </c>
      <c r="H71" s="66">
        <f>+G71*0.1</f>
        <v/>
      </c>
      <c r="I71" s="399">
        <f>+H71+G71</f>
        <v/>
      </c>
      <c r="J71" s="86">
        <f>+I71*0.4+0.06</f>
        <v/>
      </c>
      <c r="K71" s="86">
        <f>84.06*19</f>
        <v/>
      </c>
      <c r="L71" s="292" t="n">
        <v>19</v>
      </c>
      <c r="M71" s="385">
        <f>+K71/L71</f>
        <v/>
      </c>
      <c r="N71" s="385">
        <f>+'TOTAL OPERACION'!R72</f>
        <v/>
      </c>
      <c r="O71" s="557">
        <f>N71*0.1</f>
        <v/>
      </c>
      <c r="P71" s="557">
        <f>N71+O71</f>
        <v/>
      </c>
      <c r="Q71" s="558">
        <f>N71+G71</f>
        <v/>
      </c>
      <c r="R71" s="558">
        <f>P71+I71</f>
        <v/>
      </c>
    </row>
    <row r="72" ht="14.25" customHeight="1">
      <c r="B72" s="34">
        <f>+B71+1</f>
        <v/>
      </c>
      <c r="C72" s="35" t="n">
        <v>3</v>
      </c>
      <c r="D72" s="186" t="n">
        <v>3</v>
      </c>
      <c r="E72" s="100" t="inlineStr">
        <is>
          <t>B</t>
        </is>
      </c>
      <c r="F72" s="282">
        <f>+'SITUACION COMERCIAL'!AB75</f>
        <v/>
      </c>
      <c r="G72" s="188" t="n">
        <v>2520</v>
      </c>
      <c r="H72" s="40">
        <f>+G72*0.1</f>
        <v/>
      </c>
      <c r="I72" s="397">
        <f>+H72+G72</f>
        <v/>
      </c>
      <c r="J72" s="70" t="n">
        <v>1025.33</v>
      </c>
      <c r="K72" s="70" t="n"/>
      <c r="L72" s="186" t="n">
        <v>19</v>
      </c>
      <c r="M72" s="385" t="n">
        <v>91.93000000000001</v>
      </c>
      <c r="N72" s="385">
        <f>+'TOTAL OPERACION'!R73</f>
        <v/>
      </c>
      <c r="O72" s="557">
        <f>N72*0.1</f>
        <v/>
      </c>
      <c r="P72" s="557">
        <f>N72+O72</f>
        <v/>
      </c>
      <c r="Q72" s="558">
        <f>N72+G72</f>
        <v/>
      </c>
      <c r="R72" s="558">
        <f>P72+I72</f>
        <v/>
      </c>
    </row>
    <row r="73" ht="14.25" customHeight="1">
      <c r="B73" s="34">
        <f>+B72+1</f>
        <v/>
      </c>
      <c r="C73" s="35" t="n">
        <v>3</v>
      </c>
      <c r="D73" s="186" t="n">
        <v>3</v>
      </c>
      <c r="E73" s="100" t="inlineStr">
        <is>
          <t>C</t>
        </is>
      </c>
      <c r="F73" s="282">
        <f>+'SITUACION COMERCIAL'!AB76</f>
        <v/>
      </c>
      <c r="G73" s="188" t="n">
        <v>685</v>
      </c>
      <c r="H73" s="40">
        <f>+G73*0.1</f>
        <v/>
      </c>
      <c r="I73" s="397">
        <f>+H73+G73</f>
        <v/>
      </c>
      <c r="J73" s="70" t="n">
        <v>753.5</v>
      </c>
      <c r="K73" s="70" t="n"/>
      <c r="L73" s="186" t="n">
        <v>0</v>
      </c>
      <c r="M73" s="385" t="n"/>
      <c r="N73" s="385">
        <f>+'TOTAL OPERACION'!R74</f>
        <v/>
      </c>
      <c r="O73" s="557">
        <f>N73*0.1</f>
        <v/>
      </c>
      <c r="P73" s="557">
        <f>N73+O73</f>
        <v/>
      </c>
      <c r="Q73" s="558">
        <f>N73+G73</f>
        <v/>
      </c>
      <c r="R73" s="558">
        <f>P73+I73</f>
        <v/>
      </c>
    </row>
    <row r="74" ht="15.75" customHeight="1" thickBot="1">
      <c r="B74" s="200">
        <f>+B73+1</f>
        <v/>
      </c>
      <c r="C74" s="201" t="n">
        <v>3</v>
      </c>
      <c r="D74" s="202" t="n">
        <v>3</v>
      </c>
      <c r="E74" s="203" t="inlineStr">
        <is>
          <t>D</t>
        </is>
      </c>
      <c r="F74" s="285">
        <f>+'SITUACION COMERCIAL'!AB77</f>
        <v/>
      </c>
      <c r="G74" s="205" t="n"/>
      <c r="H74" s="118">
        <f>+G74*0.1</f>
        <v/>
      </c>
      <c r="I74" s="400">
        <f>+H74+G74</f>
        <v/>
      </c>
      <c r="J74" s="120" t="n"/>
      <c r="K74" s="120" t="n"/>
      <c r="L74" s="304" t="n">
        <v>20</v>
      </c>
      <c r="M74" s="388" t="n"/>
      <c r="N74" s="388">
        <f>+'TOTAL OPERACION'!R75</f>
        <v/>
      </c>
      <c r="O74" s="573" t="n"/>
      <c r="P74" s="573">
        <f>N74+O74</f>
        <v/>
      </c>
      <c r="Q74" s="574">
        <f>N74+G74</f>
        <v/>
      </c>
      <c r="R74" s="574">
        <f>P74+I74</f>
        <v/>
      </c>
    </row>
    <row r="75">
      <c r="Q75" s="327">
        <f>SUM(Q9:Q74)</f>
        <v/>
      </c>
      <c r="R75" s="327">
        <f>SUM(R9:R74)</f>
        <v/>
      </c>
    </row>
  </sheetData>
  <mergeCells count="12">
    <mergeCell ref="G6:I6"/>
    <mergeCell ref="O6:O7"/>
    <mergeCell ref="B1:M4"/>
    <mergeCell ref="J6:M6"/>
    <mergeCell ref="P6:P7"/>
    <mergeCell ref="N1:N4"/>
    <mergeCell ref="Q6:Q7"/>
    <mergeCell ref="R6:R7"/>
    <mergeCell ref="N6:N7"/>
    <mergeCell ref="B6:B7"/>
    <mergeCell ref="F6:F7"/>
    <mergeCell ref="C6:E6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7"/>
  <sheetViews>
    <sheetView showGridLines="0" workbookViewId="0">
      <selection activeCell="L32" sqref="L32"/>
    </sheetView>
  </sheetViews>
  <sheetFormatPr baseColWidth="10" defaultColWidth="10.7109375" defaultRowHeight="15"/>
  <cols>
    <col width="11.28515625" customWidth="1" min="3" max="3"/>
    <col width="7.42578125" customWidth="1" min="4" max="4"/>
    <col width="32" customWidth="1" min="5" max="5"/>
    <col width="3.85546875" customWidth="1" min="6" max="6"/>
    <col width="9.28515625" customWidth="1" min="7" max="7"/>
    <col width="7.5703125" customWidth="1" min="8" max="8"/>
    <col width="6.85546875" customWidth="1" min="9" max="9"/>
    <col width="7.7109375" customWidth="1" min="10" max="10"/>
    <col width="8.7109375" customWidth="1" min="11" max="11"/>
    <col width="7.7109375" customWidth="1" min="12" max="12"/>
    <col width="7.28515625" customWidth="1" min="13" max="13"/>
    <col width="6.140625" customWidth="1" min="14" max="14"/>
    <col width="5.85546875" customWidth="1" min="15" max="15"/>
    <col width="11.42578125" customWidth="1" min="16" max="16"/>
    <col width="11.42578125" customWidth="1" style="2" min="17" max="17"/>
    <col width="14.140625" customWidth="1" style="2" min="18" max="18"/>
  </cols>
  <sheetData>
    <row r="1">
      <c r="C1" s="540" t="inlineStr">
        <is>
          <t xml:space="preserve">IMPORTES TOTALES OPERACIÓN   </t>
        </is>
      </c>
    </row>
    <row r="2" ht="21" customHeight="1"/>
    <row r="3" ht="21" customHeight="1"/>
    <row r="4" ht="18" customHeight="1"/>
    <row r="5">
      <c r="C5" s="7" t="n"/>
      <c r="D5" s="7" t="n"/>
      <c r="E5" s="7" t="n"/>
    </row>
    <row r="6" ht="14.25" customHeight="1">
      <c r="C6" s="588" t="inlineStr">
        <is>
          <t>TITULAR 1</t>
        </is>
      </c>
      <c r="D6" s="580" t="n"/>
      <c r="E6" s="581" t="n"/>
      <c r="G6" s="501" t="inlineStr">
        <is>
          <t>INMUEBLES</t>
        </is>
      </c>
      <c r="H6" s="577" t="n"/>
      <c r="I6" s="577" t="n"/>
      <c r="J6" s="577" t="n"/>
      <c r="K6" s="577" t="n"/>
      <c r="L6" s="577" t="n"/>
      <c r="M6" s="577" t="n"/>
      <c r="N6" s="577" t="n"/>
      <c r="O6" s="578" t="n"/>
      <c r="P6" s="512" t="inlineStr">
        <is>
          <t>PRECIOS</t>
        </is>
      </c>
      <c r="Q6" s="577" t="n"/>
      <c r="R6" s="577" t="n"/>
      <c r="S6" s="578" t="n"/>
    </row>
    <row r="7" ht="14.25" customHeight="1">
      <c r="C7" s="32" t="n"/>
      <c r="E7" s="589" t="n"/>
      <c r="G7" s="541" t="inlineStr">
        <is>
          <t>Nº  Orden</t>
        </is>
      </c>
      <c r="H7" s="543" t="inlineStr">
        <is>
          <t>VIVIENDA</t>
        </is>
      </c>
      <c r="I7" s="576" t="n"/>
      <c r="J7" s="576" t="n"/>
      <c r="K7" s="583" t="n"/>
      <c r="L7" s="501" t="inlineStr">
        <is>
          <t>ANEXOS</t>
        </is>
      </c>
      <c r="M7" s="577" t="n"/>
      <c r="N7" s="577" t="n"/>
      <c r="O7" s="578" t="n"/>
      <c r="P7" s="542" t="inlineStr">
        <is>
          <t>VIVIENDA</t>
        </is>
      </c>
      <c r="Q7" s="542" t="inlineStr">
        <is>
          <t>MEJORAS</t>
        </is>
      </c>
      <c r="R7" s="503" t="inlineStr">
        <is>
          <t>PORCELANICO</t>
        </is>
      </c>
      <c r="S7" s="541" t="inlineStr">
        <is>
          <t>TOTAL</t>
        </is>
      </c>
    </row>
    <row r="8" ht="34.5" customFormat="1" customHeight="1" s="12">
      <c r="C8" s="582" t="n"/>
      <c r="D8" s="576" t="n"/>
      <c r="E8" s="583" t="n"/>
      <c r="G8" s="584" t="n"/>
      <c r="H8" s="541" t="inlineStr">
        <is>
          <t>PORTAL</t>
        </is>
      </c>
      <c r="I8" s="541" t="inlineStr">
        <is>
          <t>PLANTA</t>
        </is>
      </c>
      <c r="J8" s="541" t="inlineStr">
        <is>
          <t>LETRA</t>
        </is>
      </c>
      <c r="K8" s="541" t="inlineStr">
        <is>
          <t>Nº Dorm.</t>
        </is>
      </c>
      <c r="L8" s="541" t="inlineStr">
        <is>
          <t>Garaje</t>
        </is>
      </c>
      <c r="M8" s="541" t="inlineStr">
        <is>
          <t>Trastero</t>
        </is>
      </c>
      <c r="N8" s="498" t="inlineStr">
        <is>
          <t>G. Adicional</t>
        </is>
      </c>
      <c r="O8" s="498" t="inlineStr">
        <is>
          <t>Tr. Adicional</t>
        </is>
      </c>
      <c r="P8" s="584" t="n"/>
      <c r="Q8" s="584" t="n"/>
      <c r="R8" s="584" t="n"/>
      <c r="S8" s="584" t="n"/>
    </row>
    <row r="9" ht="15.75" customHeight="1" thickBot="1">
      <c r="P9" s="2" t="n"/>
    </row>
    <row r="10" ht="14.25" customHeight="1">
      <c r="C10" s="590">
        <f>+'SITUACION COMERCIAL'!AB12</f>
        <v/>
      </c>
      <c r="D10" s="577" t="n"/>
      <c r="E10" s="578" t="n"/>
      <c r="G10" s="238" t="n">
        <v>1</v>
      </c>
      <c r="H10" s="17" t="n">
        <v>1</v>
      </c>
      <c r="I10" s="18" t="inlineStr">
        <is>
          <t>BAJA</t>
        </is>
      </c>
      <c r="J10" s="18" t="inlineStr">
        <is>
          <t>A</t>
        </is>
      </c>
      <c r="K10" s="18" t="n">
        <v>4</v>
      </c>
      <c r="L10" s="18" t="n">
        <v>62</v>
      </c>
      <c r="M10" s="18" t="n">
        <v>56</v>
      </c>
      <c r="N10" s="18" t="inlineStr">
        <is>
          <t>.</t>
        </is>
      </c>
      <c r="O10" s="18" t="inlineStr">
        <is>
          <t>.</t>
        </is>
      </c>
      <c r="P10" s="21">
        <f>+'SITUACION COMERCIAL'!S12</f>
        <v/>
      </c>
      <c r="Q10" s="22">
        <f>+MEJORAS!G9</f>
        <v/>
      </c>
      <c r="R10" s="22" t="n">
        <v>4300</v>
      </c>
      <c r="S10" s="22">
        <f>+P10+Q10+R10</f>
        <v/>
      </c>
    </row>
    <row r="11" ht="14.25" customHeight="1">
      <c r="C11" s="590">
        <f>+'SITUACION COMERCIAL'!AB13</f>
        <v/>
      </c>
      <c r="D11" s="577" t="n"/>
      <c r="E11" s="578" t="n"/>
      <c r="G11" s="239">
        <f>+G10+1</f>
        <v/>
      </c>
      <c r="H11" s="35" t="n">
        <v>1</v>
      </c>
      <c r="I11" s="36" t="inlineStr">
        <is>
          <t>BAJA</t>
        </is>
      </c>
      <c r="J11" s="36" t="inlineStr">
        <is>
          <t>B</t>
        </is>
      </c>
      <c r="K11" s="36" t="n">
        <v>3</v>
      </c>
      <c r="L11" s="36" t="n">
        <v>57</v>
      </c>
      <c r="M11" s="36" t="n">
        <v>50</v>
      </c>
      <c r="N11" s="36" t="inlineStr">
        <is>
          <t>.</t>
        </is>
      </c>
      <c r="O11" s="36" t="inlineStr">
        <is>
          <t>.</t>
        </is>
      </c>
      <c r="P11" s="39">
        <f>+'SITUACION COMERCIAL'!S13</f>
        <v/>
      </c>
      <c r="Q11" s="40">
        <f>+MEJORAS!G10</f>
        <v/>
      </c>
      <c r="R11" s="40" t="n"/>
      <c r="S11" s="40">
        <f>+P11+Q11+R11</f>
        <v/>
      </c>
    </row>
    <row r="12" ht="15.75" customHeight="1">
      <c r="C12" s="590">
        <f>+'SITUACION COMERCIAL'!AB14</f>
        <v/>
      </c>
      <c r="D12" s="577" t="n"/>
      <c r="E12" s="578" t="n"/>
      <c r="G12" s="239" t="n">
        <v>3</v>
      </c>
      <c r="H12" s="35" t="n">
        <v>1</v>
      </c>
      <c r="I12" s="36" t="inlineStr">
        <is>
          <t>BAJA</t>
        </is>
      </c>
      <c r="J12" s="36" t="inlineStr">
        <is>
          <t>C</t>
        </is>
      </c>
      <c r="K12" s="36" t="n">
        <v>2</v>
      </c>
      <c r="L12" s="223" t="inlineStr">
        <is>
          <t>NO</t>
        </is>
      </c>
      <c r="M12" s="223" t="n">
        <v>49</v>
      </c>
      <c r="N12" s="36" t="inlineStr">
        <is>
          <t>.</t>
        </is>
      </c>
      <c r="O12" s="36" t="n"/>
      <c r="P12" s="39">
        <f>+'SITUACION COMERCIAL'!S14</f>
        <v/>
      </c>
      <c r="Q12" s="40">
        <f>+MEJORAS!G11</f>
        <v/>
      </c>
      <c r="R12" s="40" t="n"/>
      <c r="S12" s="40">
        <f>+P12+Q12+R12</f>
        <v/>
      </c>
    </row>
    <row r="13" ht="14.25" customHeight="1">
      <c r="C13" s="590">
        <f>+'SITUACION COMERCIAL'!AB15</f>
        <v/>
      </c>
      <c r="D13" s="577" t="n"/>
      <c r="E13" s="578" t="n"/>
      <c r="G13" s="239">
        <f>+G12+1</f>
        <v/>
      </c>
      <c r="H13" s="35" t="n">
        <v>1</v>
      </c>
      <c r="I13" s="36" t="inlineStr">
        <is>
          <t xml:space="preserve">BAJA </t>
        </is>
      </c>
      <c r="J13" s="36" t="inlineStr">
        <is>
          <t>D</t>
        </is>
      </c>
      <c r="K13" s="36" t="n">
        <v>2</v>
      </c>
      <c r="L13" s="36" t="n">
        <v>40</v>
      </c>
      <c r="M13" s="36" t="n">
        <v>60</v>
      </c>
      <c r="N13" s="36" t="inlineStr">
        <is>
          <t>.</t>
        </is>
      </c>
      <c r="O13" s="36" t="inlineStr">
        <is>
          <t>.</t>
        </is>
      </c>
      <c r="P13" s="39">
        <f>+'SITUACION COMERCIAL'!S15</f>
        <v/>
      </c>
      <c r="Q13" s="40">
        <f>+MEJORAS!G12</f>
        <v/>
      </c>
      <c r="R13" s="40" t="n"/>
      <c r="S13" s="40">
        <f>+P13+Q13+R13</f>
        <v/>
      </c>
    </row>
    <row r="14" ht="15.75" customHeight="1" thickBot="1">
      <c r="C14" s="590">
        <f>+'SITUACION COMERCIAL'!AB28</f>
        <v/>
      </c>
      <c r="D14" s="577" t="n"/>
      <c r="E14" s="578" t="n"/>
      <c r="G14" s="239">
        <f>+G13+1</f>
        <v/>
      </c>
      <c r="H14" s="35" t="n">
        <v>1</v>
      </c>
      <c r="I14" s="36" t="inlineStr">
        <is>
          <t>BAJA</t>
        </is>
      </c>
      <c r="J14" s="36" t="inlineStr">
        <is>
          <t>E</t>
        </is>
      </c>
      <c r="K14" s="36" t="n">
        <v>2</v>
      </c>
      <c r="L14" s="36" t="n">
        <v>43</v>
      </c>
      <c r="M14" s="36" t="n">
        <v>18</v>
      </c>
      <c r="N14" s="36" t="inlineStr">
        <is>
          <t>.</t>
        </is>
      </c>
      <c r="O14" s="36" t="inlineStr">
        <is>
          <t>.</t>
        </is>
      </c>
      <c r="P14" s="56">
        <f>+'SITUACION COMERCIAL'!S16</f>
        <v/>
      </c>
      <c r="Q14" s="57">
        <f>+MEJORAS!G13</f>
        <v/>
      </c>
      <c r="R14" s="57" t="n"/>
      <c r="S14" s="57">
        <f>+P14+Q14+R14</f>
        <v/>
      </c>
    </row>
    <row r="15" ht="12" customHeight="1">
      <c r="C15" s="590">
        <f>+'SITUACION COMERCIAL'!AB17</f>
        <v/>
      </c>
      <c r="D15" s="577" t="n"/>
      <c r="E15" s="578" t="n"/>
      <c r="G15" s="240">
        <f>+G14+1</f>
        <v/>
      </c>
      <c r="H15" s="59" t="n">
        <v>1</v>
      </c>
      <c r="I15" s="60" t="n">
        <v>1</v>
      </c>
      <c r="J15" s="60" t="inlineStr">
        <is>
          <t>A</t>
        </is>
      </c>
      <c r="K15" s="60" t="n">
        <v>4</v>
      </c>
      <c r="L15" s="60" t="n">
        <v>9</v>
      </c>
      <c r="M15" s="60" t="n">
        <v>13</v>
      </c>
      <c r="N15" s="60" t="inlineStr">
        <is>
          <t>-</t>
        </is>
      </c>
      <c r="O15" s="60" t="inlineStr">
        <is>
          <t>.</t>
        </is>
      </c>
      <c r="P15" s="65">
        <f>+'SITUACION COMERCIAL'!S17</f>
        <v/>
      </c>
      <c r="Q15" s="66">
        <f>+MEJORAS!G14</f>
        <v/>
      </c>
      <c r="R15" s="66" t="n">
        <v>4300</v>
      </c>
      <c r="S15" s="66">
        <f>+P15+Q15+R15</f>
        <v/>
      </c>
    </row>
    <row r="16">
      <c r="C16" s="590">
        <f>+'SITUACION COMERCIAL'!AB18</f>
        <v/>
      </c>
      <c r="D16" s="577" t="n"/>
      <c r="E16" s="578" t="n"/>
      <c r="G16" s="239">
        <f>+G15+1</f>
        <v/>
      </c>
      <c r="H16" s="35" t="n">
        <v>1</v>
      </c>
      <c r="I16" s="36" t="n">
        <v>1</v>
      </c>
      <c r="J16" s="36" t="inlineStr">
        <is>
          <t>B</t>
        </is>
      </c>
      <c r="K16" s="36" t="n">
        <v>3</v>
      </c>
      <c r="L16" s="68" t="n">
        <v>12</v>
      </c>
      <c r="M16" s="36" t="n">
        <v>16</v>
      </c>
      <c r="N16" s="36" t="inlineStr">
        <is>
          <t>.</t>
        </is>
      </c>
      <c r="O16" s="36" t="inlineStr">
        <is>
          <t>.</t>
        </is>
      </c>
      <c r="P16" s="39">
        <f>+'SITUACION COMERCIAL'!S18</f>
        <v/>
      </c>
      <c r="Q16" s="40">
        <f>+MEJORAS!G15</f>
        <v/>
      </c>
      <c r="R16" s="40" t="n"/>
      <c r="S16" s="40">
        <f>+P16+Q16+R16</f>
        <v/>
      </c>
    </row>
    <row r="17" ht="14.25" customHeight="1">
      <c r="C17" s="590">
        <f>+'SITUACION COMERCIAL'!AB19</f>
        <v/>
      </c>
      <c r="D17" s="577" t="n"/>
      <c r="E17" s="578" t="n"/>
      <c r="G17" s="239">
        <f>+G16+1</f>
        <v/>
      </c>
      <c r="H17" s="35" t="n">
        <v>1</v>
      </c>
      <c r="I17" s="36" t="n">
        <v>1</v>
      </c>
      <c r="J17" s="36" t="inlineStr">
        <is>
          <t>C</t>
        </is>
      </c>
      <c r="K17" s="36" t="n">
        <v>2</v>
      </c>
      <c r="L17" s="36" t="n">
        <v>54</v>
      </c>
      <c r="M17" s="36" t="n">
        <v>48</v>
      </c>
      <c r="N17" s="36" t="inlineStr">
        <is>
          <t>.</t>
        </is>
      </c>
      <c r="O17" s="36" t="inlineStr">
        <is>
          <t>.</t>
        </is>
      </c>
      <c r="P17" s="39">
        <f>+'SITUACION COMERCIAL'!S19</f>
        <v/>
      </c>
      <c r="Q17" s="40">
        <f>+MEJORAS!G16</f>
        <v/>
      </c>
      <c r="R17" s="40" t="n">
        <v>2850</v>
      </c>
      <c r="S17" s="40">
        <f>+P17+Q17+R17</f>
        <v/>
      </c>
    </row>
    <row r="18" ht="14.25" customHeight="1">
      <c r="C18" s="590">
        <f>+'SITUACION COMERCIAL'!AB20</f>
        <v/>
      </c>
      <c r="D18" s="577" t="n"/>
      <c r="E18" s="578" t="n"/>
      <c r="G18" s="239">
        <f>+G17+1</f>
        <v/>
      </c>
      <c r="H18" s="35" t="n">
        <v>1</v>
      </c>
      <c r="I18" s="36" t="n">
        <v>1</v>
      </c>
      <c r="J18" s="36" t="inlineStr">
        <is>
          <t>D</t>
        </is>
      </c>
      <c r="K18" s="36" t="n">
        <v>2</v>
      </c>
      <c r="L18" s="36" t="n">
        <v>10</v>
      </c>
      <c r="M18" s="36" t="n">
        <v>14</v>
      </c>
      <c r="N18" s="36" t="inlineStr">
        <is>
          <t>.</t>
        </is>
      </c>
      <c r="O18" s="36" t="inlineStr">
        <is>
          <t>.</t>
        </is>
      </c>
      <c r="P18" s="39">
        <f>+'SITUACION COMERCIAL'!S20</f>
        <v/>
      </c>
      <c r="Q18" s="40">
        <f>+MEJORAS!G17</f>
        <v/>
      </c>
      <c r="R18" s="40" t="n"/>
      <c r="S18" s="40">
        <f>+P18+Q18+R18</f>
        <v/>
      </c>
    </row>
    <row r="19">
      <c r="C19" s="590">
        <f>+'SITUACION COMERCIAL'!AB21</f>
        <v/>
      </c>
      <c r="D19" s="577" t="n"/>
      <c r="E19" s="578" t="n"/>
      <c r="G19" s="239">
        <f>+G18+1</f>
        <v/>
      </c>
      <c r="H19" s="74" t="n">
        <v>1</v>
      </c>
      <c r="I19" s="75" t="n">
        <v>1</v>
      </c>
      <c r="J19" s="75" t="inlineStr">
        <is>
          <t>E</t>
        </is>
      </c>
      <c r="K19" s="75" t="n">
        <v>2</v>
      </c>
      <c r="L19" s="68" t="n">
        <v>48</v>
      </c>
      <c r="M19" s="36" t="inlineStr">
        <is>
          <t>.</t>
        </is>
      </c>
      <c r="N19" s="36" t="inlineStr">
        <is>
          <t>.</t>
        </is>
      </c>
      <c r="O19" s="36" t="inlineStr">
        <is>
          <t>.</t>
        </is>
      </c>
      <c r="P19" s="79">
        <f>+'SITUACION COMERCIAL'!S21</f>
        <v/>
      </c>
      <c r="Q19" s="40">
        <f>+MEJORAS!G18</f>
        <v/>
      </c>
      <c r="R19" s="40" t="n"/>
      <c r="S19" s="40">
        <f>+P19+Q19+R19</f>
        <v/>
      </c>
    </row>
    <row r="20" ht="15.75" customHeight="1" thickBot="1">
      <c r="C20" s="590">
        <f>+'SITUACION COMERCIAL'!AB22</f>
        <v/>
      </c>
      <c r="D20" s="577" t="n"/>
      <c r="E20" s="578" t="n"/>
      <c r="G20" s="241">
        <f>+G19+1</f>
        <v/>
      </c>
      <c r="H20" s="81" t="n">
        <v>1</v>
      </c>
      <c r="I20" s="82" t="n">
        <v>1</v>
      </c>
      <c r="J20" s="53" t="inlineStr">
        <is>
          <t>F</t>
        </is>
      </c>
      <c r="K20" s="53" t="n">
        <v>2</v>
      </c>
      <c r="L20" s="53" t="n">
        <v>14</v>
      </c>
      <c r="M20" s="53" t="n">
        <v>21</v>
      </c>
      <c r="N20" s="53" t="inlineStr">
        <is>
          <t>.</t>
        </is>
      </c>
      <c r="O20" s="53" t="inlineStr">
        <is>
          <t>.</t>
        </is>
      </c>
      <c r="P20" s="85">
        <f>+'SITUACION COMERCIAL'!S22</f>
        <v/>
      </c>
      <c r="Q20" s="57">
        <f>+MEJORAS!G19</f>
        <v/>
      </c>
      <c r="R20" s="57" t="n"/>
      <c r="S20" s="57">
        <f>+P20+Q20+R20</f>
        <v/>
      </c>
    </row>
    <row r="21" ht="14.25" customHeight="1">
      <c r="C21" s="590">
        <f>+'SITUACION COMERCIAL'!AB23</f>
        <v/>
      </c>
      <c r="D21" s="577" t="n"/>
      <c r="E21" s="578" t="n"/>
      <c r="G21" s="240">
        <f>+G20+1</f>
        <v/>
      </c>
      <c r="H21" s="59" t="n">
        <v>1</v>
      </c>
      <c r="I21" s="60" t="n">
        <v>2</v>
      </c>
      <c r="J21" s="60" t="inlineStr">
        <is>
          <t>A</t>
        </is>
      </c>
      <c r="K21" s="60" t="n">
        <v>4</v>
      </c>
      <c r="L21" s="60" t="n">
        <v>60</v>
      </c>
      <c r="M21" s="60" t="n">
        <v>54</v>
      </c>
      <c r="N21" s="60" t="inlineStr">
        <is>
          <t>.</t>
        </is>
      </c>
      <c r="O21" s="60" t="inlineStr">
        <is>
          <t>.</t>
        </is>
      </c>
      <c r="P21" s="65">
        <f>+'SITUACION COMERCIAL'!S23</f>
        <v/>
      </c>
      <c r="Q21" s="66">
        <f>+MEJORAS!G20</f>
        <v/>
      </c>
      <c r="R21" s="66" t="n">
        <v>4300</v>
      </c>
      <c r="S21" s="66">
        <f>+P21+Q21+R21</f>
        <v/>
      </c>
    </row>
    <row r="22" ht="14.25" customHeight="1">
      <c r="C22" s="590">
        <f>+'SITUACION COMERCIAL'!AB24</f>
        <v/>
      </c>
      <c r="D22" s="577" t="n"/>
      <c r="E22" s="578" t="n"/>
      <c r="G22" s="239">
        <f>+G21+1</f>
        <v/>
      </c>
      <c r="H22" s="35" t="n">
        <v>1</v>
      </c>
      <c r="I22" s="36" t="n">
        <v>2</v>
      </c>
      <c r="J22" s="36" t="inlineStr">
        <is>
          <t>B</t>
        </is>
      </c>
      <c r="K22" s="36" t="n">
        <v>3</v>
      </c>
      <c r="L22" s="36" t="n">
        <v>13</v>
      </c>
      <c r="M22" s="36" t="n">
        <v>20</v>
      </c>
      <c r="N22" s="36" t="inlineStr">
        <is>
          <t>.</t>
        </is>
      </c>
      <c r="O22" s="36" t="inlineStr">
        <is>
          <t>.</t>
        </is>
      </c>
      <c r="P22" s="39">
        <f>+'SITUACION COMERCIAL'!S24</f>
        <v/>
      </c>
      <c r="Q22" s="40">
        <f>+MEJORAS!G21</f>
        <v/>
      </c>
      <c r="R22" s="40" t="n">
        <v>3990</v>
      </c>
      <c r="S22" s="40">
        <f>+P22+Q22+R22</f>
        <v/>
      </c>
    </row>
    <row r="23" ht="14.25" customHeight="1">
      <c r="C23" s="590">
        <f>+'SITUACION COMERCIAL'!AB25</f>
        <v/>
      </c>
      <c r="D23" s="577" t="n"/>
      <c r="E23" s="578" t="n"/>
      <c r="G23" s="239">
        <f>+G22+1</f>
        <v/>
      </c>
      <c r="H23" s="35" t="n">
        <v>1</v>
      </c>
      <c r="I23" s="36" t="n">
        <v>2</v>
      </c>
      <c r="J23" s="36" t="inlineStr">
        <is>
          <t>C</t>
        </is>
      </c>
      <c r="K23" s="36" t="n">
        <v>2</v>
      </c>
      <c r="L23" s="36" t="n">
        <v>44</v>
      </c>
      <c r="M23" s="36" t="n">
        <v>43</v>
      </c>
      <c r="N23" s="36" t="inlineStr">
        <is>
          <t>.</t>
        </is>
      </c>
      <c r="O23" s="36" t="inlineStr">
        <is>
          <t>.</t>
        </is>
      </c>
      <c r="P23" s="39">
        <f>+'SITUACION COMERCIAL'!S25</f>
        <v/>
      </c>
      <c r="Q23" s="40">
        <f>+MEJORAS!G22</f>
        <v/>
      </c>
      <c r="R23" s="40" t="n">
        <v>2850</v>
      </c>
      <c r="S23" s="40">
        <f>+P23+Q23+R23</f>
        <v/>
      </c>
    </row>
    <row r="24" ht="14.25" customHeight="1">
      <c r="C24" s="590">
        <f>+'SITUACION COMERCIAL'!AB26</f>
        <v/>
      </c>
      <c r="D24" s="577" t="n"/>
      <c r="E24" s="578" t="n"/>
      <c r="G24" s="239">
        <f>+G23+1</f>
        <v/>
      </c>
      <c r="H24" s="35" t="n">
        <v>1</v>
      </c>
      <c r="I24" s="36" t="n">
        <v>2</v>
      </c>
      <c r="J24" s="36" t="inlineStr">
        <is>
          <t>D</t>
        </is>
      </c>
      <c r="K24" s="36" t="n">
        <v>2</v>
      </c>
      <c r="L24" s="36" t="n">
        <v>15</v>
      </c>
      <c r="M24" s="36" t="n">
        <v>22</v>
      </c>
      <c r="N24" s="36" t="inlineStr">
        <is>
          <t>.</t>
        </is>
      </c>
      <c r="O24" s="36" t="inlineStr">
        <is>
          <t>.</t>
        </is>
      </c>
      <c r="P24" s="39">
        <f>+'SITUACION COMERCIAL'!S26</f>
        <v/>
      </c>
      <c r="Q24" s="40">
        <f>+MEJORAS!G23</f>
        <v/>
      </c>
      <c r="R24" s="40" t="n"/>
      <c r="S24" s="40">
        <f>+P24+Q24+R24</f>
        <v/>
      </c>
    </row>
    <row r="25">
      <c r="C25" s="590">
        <f>+'SITUACION COMERCIAL'!AB27</f>
        <v/>
      </c>
      <c r="D25" s="577" t="n"/>
      <c r="E25" s="578" t="n"/>
      <c r="G25" s="239">
        <f>+G24+1</f>
        <v/>
      </c>
      <c r="H25" s="74" t="n">
        <v>1</v>
      </c>
      <c r="I25" s="75" t="n">
        <v>2</v>
      </c>
      <c r="J25" s="75" t="inlineStr">
        <is>
          <t>E</t>
        </is>
      </c>
      <c r="K25" s="75" t="n">
        <v>2</v>
      </c>
      <c r="L25" s="75" t="n">
        <v>58</v>
      </c>
      <c r="M25" s="75" t="n">
        <v>51</v>
      </c>
      <c r="N25" s="75" t="n"/>
      <c r="O25" s="75" t="n"/>
      <c r="P25" s="79">
        <f>+'SITUACION COMERCIAL'!S27</f>
        <v/>
      </c>
      <c r="Q25" s="40">
        <f>+MEJORAS!G24</f>
        <v/>
      </c>
      <c r="R25" s="40" t="n"/>
      <c r="S25" s="40">
        <f>+P25+Q25+R25</f>
        <v/>
      </c>
    </row>
    <row r="26" ht="14.25" customHeight="1" thickBot="1">
      <c r="C26" s="590">
        <f>+'SITUACION COMERCIAL'!#REF!</f>
        <v/>
      </c>
      <c r="D26" s="577" t="n"/>
      <c r="E26" s="578" t="n"/>
      <c r="G26" s="241">
        <f>+G25+1</f>
        <v/>
      </c>
      <c r="H26" s="81" t="n">
        <v>1</v>
      </c>
      <c r="I26" s="82" t="n">
        <v>2</v>
      </c>
      <c r="J26" s="53" t="inlineStr">
        <is>
          <t>F</t>
        </is>
      </c>
      <c r="K26" s="53" t="n">
        <v>2</v>
      </c>
      <c r="L26" s="53" t="n">
        <v>42</v>
      </c>
      <c r="M26" s="53" t="n">
        <v>42</v>
      </c>
      <c r="N26" s="53" t="inlineStr">
        <is>
          <t>.</t>
        </is>
      </c>
      <c r="O26" s="53" t="inlineStr">
        <is>
          <t>.</t>
        </is>
      </c>
      <c r="P26" s="85">
        <f>+'SITUACION COMERCIAL'!S28</f>
        <v/>
      </c>
      <c r="Q26" s="57">
        <f>+MEJORAS!G25</f>
        <v/>
      </c>
      <c r="R26" s="57" t="n"/>
      <c r="S26" s="57">
        <f>+P26+Q26+R26</f>
        <v/>
      </c>
    </row>
    <row r="27" ht="14.25" customHeight="1">
      <c r="C27" s="590">
        <f>+'SITUACION COMERCIAL'!AB29</f>
        <v/>
      </c>
      <c r="D27" s="577" t="n"/>
      <c r="E27" s="578" t="n"/>
      <c r="G27" s="240">
        <f>+G26+1</f>
        <v/>
      </c>
      <c r="H27" s="59" t="n">
        <v>1</v>
      </c>
      <c r="I27" s="60" t="n">
        <v>3</v>
      </c>
      <c r="J27" s="60" t="inlineStr">
        <is>
          <t>A</t>
        </is>
      </c>
      <c r="K27" s="60" t="n">
        <v>4</v>
      </c>
      <c r="L27" s="60" t="n">
        <v>59</v>
      </c>
      <c r="M27" s="60" t="n">
        <v>53</v>
      </c>
      <c r="N27" s="60" t="n">
        <v>50</v>
      </c>
      <c r="O27" s="60" t="inlineStr">
        <is>
          <t>.</t>
        </is>
      </c>
      <c r="P27" s="65">
        <f>+'SITUACION COMERCIAL'!S29</f>
        <v/>
      </c>
      <c r="Q27" s="66">
        <f>+MEJORAS!G26</f>
        <v/>
      </c>
      <c r="R27" s="66" t="n"/>
      <c r="S27" s="66">
        <f>+P27+Q27+R27</f>
        <v/>
      </c>
    </row>
    <row r="28" ht="14.25" customHeight="1">
      <c r="C28" s="590">
        <f>+'SITUACION COMERCIAL'!AB30</f>
        <v/>
      </c>
      <c r="D28" s="577" t="n"/>
      <c r="E28" s="578" t="n"/>
      <c r="G28" s="239">
        <f>+G27+1</f>
        <v/>
      </c>
      <c r="H28" s="35" t="n">
        <v>1</v>
      </c>
      <c r="I28" s="100" t="n">
        <v>3</v>
      </c>
      <c r="J28" s="36" t="inlineStr">
        <is>
          <t>B</t>
        </is>
      </c>
      <c r="K28" s="36" t="n">
        <v>3</v>
      </c>
      <c r="L28" s="36" t="n">
        <v>16</v>
      </c>
      <c r="M28" s="36" t="n">
        <v>23</v>
      </c>
      <c r="N28" s="36" t="inlineStr">
        <is>
          <t>.</t>
        </is>
      </c>
      <c r="O28" s="36" t="inlineStr">
        <is>
          <t>.</t>
        </is>
      </c>
      <c r="P28" s="39">
        <f>+'SITUACION COMERCIAL'!S30</f>
        <v/>
      </c>
      <c r="Q28" s="40">
        <f>+MEJORAS!G27</f>
        <v/>
      </c>
      <c r="R28" s="40" t="n"/>
      <c r="S28" s="40">
        <f>+P28+Q28+R28</f>
        <v/>
      </c>
    </row>
    <row r="29" ht="14.25" customHeight="1">
      <c r="C29" s="590">
        <f>+'SITUACION COMERCIAL'!AB31</f>
        <v/>
      </c>
      <c r="D29" s="577" t="n"/>
      <c r="E29" s="578" t="n"/>
      <c r="G29" s="239">
        <f>+G28+1</f>
        <v/>
      </c>
      <c r="H29" s="35" t="n">
        <v>1</v>
      </c>
      <c r="I29" s="100" t="n">
        <v>3</v>
      </c>
      <c r="J29" s="36" t="inlineStr">
        <is>
          <t>C</t>
        </is>
      </c>
      <c r="K29" s="36" t="n">
        <v>2</v>
      </c>
      <c r="L29" s="36" t="n">
        <v>38</v>
      </c>
      <c r="M29" s="36" t="n">
        <v>25</v>
      </c>
      <c r="N29" s="36" t="inlineStr">
        <is>
          <t>.</t>
        </is>
      </c>
      <c r="O29" s="36" t="inlineStr">
        <is>
          <t>.</t>
        </is>
      </c>
      <c r="P29" s="39">
        <f>+'SITUACION COMERCIAL'!S31</f>
        <v/>
      </c>
      <c r="Q29" s="40">
        <f>+MEJORAS!G28</f>
        <v/>
      </c>
      <c r="R29" s="40" t="n"/>
      <c r="S29" s="40">
        <f>+P29+Q29+R29</f>
        <v/>
      </c>
    </row>
    <row r="30" ht="14.25" customHeight="1">
      <c r="C30" s="590">
        <f>+'SITUACION COMERCIAL'!AB32</f>
        <v/>
      </c>
      <c r="D30" s="577" t="n"/>
      <c r="E30" s="578" t="n"/>
      <c r="G30" s="239">
        <f>+G29+1</f>
        <v/>
      </c>
      <c r="H30" s="35" t="n">
        <v>1</v>
      </c>
      <c r="I30" s="100" t="n">
        <v>3</v>
      </c>
      <c r="J30" s="36" t="inlineStr">
        <is>
          <t>D</t>
        </is>
      </c>
      <c r="K30" s="36" t="n">
        <v>2</v>
      </c>
      <c r="L30" s="36" t="n">
        <v>45</v>
      </c>
      <c r="M30" s="36" t="n">
        <v>44</v>
      </c>
      <c r="N30" s="36" t="inlineStr">
        <is>
          <t>.</t>
        </is>
      </c>
      <c r="O30" s="36" t="inlineStr">
        <is>
          <t>.</t>
        </is>
      </c>
      <c r="P30" s="39">
        <f>+'SITUACION COMERCIAL'!S32</f>
        <v/>
      </c>
      <c r="Q30" s="40">
        <f>+MEJORAS!G29</f>
        <v/>
      </c>
      <c r="R30" s="40" t="n"/>
      <c r="S30" s="40">
        <f>+P30+Q30+R30</f>
        <v/>
      </c>
    </row>
    <row r="31" ht="14.25" customHeight="1">
      <c r="C31" s="590">
        <f>+'SITUACION COMERCIAL'!AB33</f>
        <v/>
      </c>
      <c r="D31" s="577" t="n"/>
      <c r="E31" s="578" t="n"/>
      <c r="G31" s="239">
        <f>+G30+1</f>
        <v/>
      </c>
      <c r="H31" s="74" t="n">
        <v>1</v>
      </c>
      <c r="I31" s="102" t="n">
        <v>3</v>
      </c>
      <c r="J31" s="75" t="inlineStr">
        <is>
          <t>E</t>
        </is>
      </c>
      <c r="K31" s="75" t="n">
        <v>2</v>
      </c>
      <c r="L31" s="36" t="n">
        <v>11</v>
      </c>
      <c r="M31" s="36" t="n">
        <v>15</v>
      </c>
      <c r="N31" s="36" t="inlineStr">
        <is>
          <t>.</t>
        </is>
      </c>
      <c r="O31" s="36" t="inlineStr">
        <is>
          <t>.</t>
        </is>
      </c>
      <c r="P31" s="79">
        <f>+'SITUACION COMERCIAL'!S33</f>
        <v/>
      </c>
      <c r="Q31" s="40">
        <f>+MEJORAS!G30</f>
        <v/>
      </c>
      <c r="R31" s="40" t="n"/>
      <c r="S31" s="40">
        <f>+P31+Q31+R31</f>
        <v/>
      </c>
    </row>
    <row r="32" ht="14.25" customHeight="1" thickBot="1">
      <c r="C32" s="590">
        <f>+'SITUACION COMERCIAL'!AB34</f>
        <v/>
      </c>
      <c r="D32" s="577" t="n"/>
      <c r="E32" s="578" t="n"/>
      <c r="G32" s="241">
        <f>+G31+1</f>
        <v/>
      </c>
      <c r="H32" s="81" t="n">
        <v>1</v>
      </c>
      <c r="I32" s="53" t="n">
        <v>3</v>
      </c>
      <c r="J32" s="53" t="inlineStr">
        <is>
          <t>F</t>
        </is>
      </c>
      <c r="K32" s="53" t="n">
        <v>2</v>
      </c>
      <c r="L32" s="36" t="n">
        <v>51</v>
      </c>
      <c r="M32" s="36" t="n">
        <v>46</v>
      </c>
      <c r="N32" s="103" t="inlineStr">
        <is>
          <t>.</t>
        </is>
      </c>
      <c r="O32" s="103" t="inlineStr">
        <is>
          <t>.</t>
        </is>
      </c>
      <c r="P32" s="85">
        <f>+'SITUACION COMERCIAL'!S34</f>
        <v/>
      </c>
      <c r="Q32" s="57">
        <f>+MEJORAS!G31</f>
        <v/>
      </c>
      <c r="R32" s="57" t="n"/>
      <c r="S32" s="57">
        <f>+P32+Q32+R32</f>
        <v/>
      </c>
    </row>
    <row r="33" ht="14.25" customHeight="1">
      <c r="C33" s="590">
        <f>+'SITUACION COMERCIAL'!AB35</f>
        <v/>
      </c>
      <c r="D33" s="577" t="n"/>
      <c r="E33" s="578" t="n"/>
      <c r="G33" s="240">
        <f>+G32+1</f>
        <v/>
      </c>
      <c r="H33" s="59" t="n">
        <v>1</v>
      </c>
      <c r="I33" s="60" t="n">
        <v>4</v>
      </c>
      <c r="J33" s="105" t="inlineStr">
        <is>
          <t>A</t>
        </is>
      </c>
      <c r="K33" s="105" t="n">
        <v>4</v>
      </c>
      <c r="L33" s="105" t="n">
        <v>41</v>
      </c>
      <c r="M33" s="105" t="n">
        <v>52</v>
      </c>
      <c r="N33" s="105" t="inlineStr">
        <is>
          <t>.</t>
        </is>
      </c>
      <c r="O33" s="105" t="inlineStr">
        <is>
          <t>.</t>
        </is>
      </c>
      <c r="P33" s="65">
        <f>+'SITUACION COMERCIAL'!S35</f>
        <v/>
      </c>
      <c r="Q33" s="66">
        <f>+MEJORAS!G32</f>
        <v/>
      </c>
      <c r="R33" s="66" t="n"/>
      <c r="S33" s="66">
        <f>+P33+Q33+R33</f>
        <v/>
      </c>
    </row>
    <row r="34" ht="14.25" customHeight="1">
      <c r="C34" s="590">
        <f>+'SITUACION COMERCIAL'!AB36</f>
        <v/>
      </c>
      <c r="D34" s="577" t="n"/>
      <c r="E34" s="578" t="n"/>
      <c r="G34" s="239">
        <f>+G33+1</f>
        <v/>
      </c>
      <c r="H34" s="35" t="n">
        <v>1</v>
      </c>
      <c r="I34" s="100" t="n">
        <v>4</v>
      </c>
      <c r="J34" s="36" t="inlineStr">
        <is>
          <t>B</t>
        </is>
      </c>
      <c r="K34" s="36" t="n">
        <v>2</v>
      </c>
      <c r="L34" s="109" t="n">
        <v>8</v>
      </c>
      <c r="M34" s="109" t="n">
        <v>12</v>
      </c>
      <c r="N34" s="110" t="inlineStr">
        <is>
          <t>.</t>
        </is>
      </c>
      <c r="O34" s="110" t="inlineStr">
        <is>
          <t>.</t>
        </is>
      </c>
      <c r="P34" s="39">
        <f>+'SITUACION COMERCIAL'!S36</f>
        <v/>
      </c>
      <c r="Q34" s="40">
        <f>+MEJORAS!G33</f>
        <v/>
      </c>
      <c r="R34" s="40" t="n"/>
      <c r="S34" s="40">
        <f>+P34+Q34+R34</f>
        <v/>
      </c>
    </row>
    <row r="35" ht="14.25" customHeight="1">
      <c r="C35" s="590">
        <f>+'SITUACION COMERCIAL'!AB37</f>
        <v/>
      </c>
      <c r="D35" s="577" t="n"/>
      <c r="E35" s="578" t="n"/>
      <c r="G35" s="239">
        <f>+G34+1</f>
        <v/>
      </c>
      <c r="H35" s="74" t="n">
        <v>1</v>
      </c>
      <c r="I35" s="102" t="n">
        <v>4</v>
      </c>
      <c r="J35" s="75" t="inlineStr">
        <is>
          <t>C</t>
        </is>
      </c>
      <c r="K35" s="75" t="n">
        <v>2</v>
      </c>
      <c r="L35" s="75" t="n">
        <v>65</v>
      </c>
      <c r="M35" s="75" t="n">
        <v>59</v>
      </c>
      <c r="N35" s="110" t="inlineStr">
        <is>
          <t>.</t>
        </is>
      </c>
      <c r="O35" s="110" t="inlineStr">
        <is>
          <t>.</t>
        </is>
      </c>
      <c r="P35" s="79">
        <f>+'SITUACION COMERCIAL'!S37</f>
        <v/>
      </c>
      <c r="Q35" s="40">
        <f>+MEJORAS!G34</f>
        <v/>
      </c>
      <c r="R35" s="40" t="n"/>
      <c r="S35" s="40">
        <f>+P35+Q35+R35</f>
        <v/>
      </c>
    </row>
    <row r="36" ht="14.25" customHeight="1" thickBot="1">
      <c r="C36" s="590">
        <f>+'SITUACION COMERCIAL'!AB38</f>
        <v/>
      </c>
      <c r="D36" s="577" t="n"/>
      <c r="E36" s="578" t="n"/>
      <c r="G36" s="241">
        <f>+G35+1</f>
        <v/>
      </c>
      <c r="H36" s="81" t="n">
        <v>1</v>
      </c>
      <c r="I36" s="82" t="n">
        <v>4</v>
      </c>
      <c r="J36" s="82" t="inlineStr">
        <is>
          <t>D</t>
        </is>
      </c>
      <c r="K36" s="53" t="n">
        <v>2</v>
      </c>
      <c r="L36" s="53" t="n">
        <v>53</v>
      </c>
      <c r="M36" s="53" t="n">
        <v>19</v>
      </c>
      <c r="N36" s="53" t="inlineStr">
        <is>
          <t>.</t>
        </is>
      </c>
      <c r="O36" s="53" t="inlineStr">
        <is>
          <t>.</t>
        </is>
      </c>
      <c r="P36" s="85">
        <f>+'SITUACION COMERCIAL'!S38</f>
        <v/>
      </c>
      <c r="Q36" s="57">
        <f>+MEJORAS!G35</f>
        <v/>
      </c>
      <c r="R36" s="57" t="n"/>
      <c r="S36" s="57">
        <f>+P36+Q36+R36</f>
        <v/>
      </c>
    </row>
    <row r="37" ht="14.25" customHeight="1">
      <c r="C37" s="590">
        <f>+'SITUACION COMERCIAL'!AB39</f>
        <v/>
      </c>
      <c r="D37" s="577" t="n"/>
      <c r="E37" s="578" t="n"/>
      <c r="G37" s="430">
        <f>+G36+1</f>
        <v/>
      </c>
      <c r="H37" s="431" t="n">
        <v>1</v>
      </c>
      <c r="I37" s="432" t="n">
        <v>5</v>
      </c>
      <c r="J37" s="432" t="inlineStr">
        <is>
          <t>A</t>
        </is>
      </c>
      <c r="K37" s="432" t="n">
        <v>4</v>
      </c>
      <c r="L37" s="433" t="n">
        <v>52</v>
      </c>
      <c r="M37" s="433" t="n">
        <v>47</v>
      </c>
      <c r="N37" s="432" t="n">
        <v>49</v>
      </c>
      <c r="O37" s="432" t="inlineStr">
        <is>
          <t>.</t>
        </is>
      </c>
      <c r="P37" s="434" t="n">
        <v>267700</v>
      </c>
      <c r="Q37" s="435">
        <f>+MEJORAS!G36</f>
        <v/>
      </c>
      <c r="R37" s="435" t="n"/>
      <c r="S37" s="435">
        <f>+P37+Q37+R37</f>
        <v/>
      </c>
    </row>
    <row r="38" ht="14.25" customHeight="1">
      <c r="C38" s="590">
        <f>+'SITUACION COMERCIAL'!AB40</f>
        <v/>
      </c>
      <c r="D38" s="577" t="n"/>
      <c r="E38" s="578" t="n"/>
      <c r="G38" s="239">
        <f>+G37+1</f>
        <v/>
      </c>
      <c r="H38" s="35" t="n">
        <v>1</v>
      </c>
      <c r="I38" s="36" t="n">
        <v>5</v>
      </c>
      <c r="J38" s="100" t="inlineStr">
        <is>
          <t>B</t>
        </is>
      </c>
      <c r="K38" s="100" t="n">
        <v>4</v>
      </c>
      <c r="L38" s="260" t="n">
        <v>6</v>
      </c>
      <c r="M38" s="100" t="n">
        <v>10</v>
      </c>
      <c r="N38" s="100" t="inlineStr">
        <is>
          <t>.</t>
        </is>
      </c>
      <c r="O38" s="100" t="inlineStr">
        <is>
          <t>.</t>
        </is>
      </c>
      <c r="P38" s="113">
        <f>+'SITUACION COMERCIAL'!S40</f>
        <v/>
      </c>
      <c r="Q38" s="40">
        <f>+MEJORAS!G37</f>
        <v/>
      </c>
      <c r="R38" s="40" t="n"/>
      <c r="S38" s="40">
        <f>+P38+Q38+R38</f>
        <v/>
      </c>
    </row>
    <row r="39" ht="14.25" customHeight="1" thickBot="1">
      <c r="C39" s="590">
        <f>+'SITUACION COMERCIAL'!AB41</f>
        <v/>
      </c>
      <c r="D39" s="577" t="n"/>
      <c r="E39" s="578" t="n"/>
      <c r="G39" s="242">
        <f>+G38+1</f>
        <v/>
      </c>
      <c r="H39" s="114" t="n">
        <v>1</v>
      </c>
      <c r="I39" s="115" t="n">
        <v>5</v>
      </c>
      <c r="J39" s="115" t="inlineStr">
        <is>
          <t>C</t>
        </is>
      </c>
      <c r="K39" s="115" t="n">
        <v>4</v>
      </c>
      <c r="L39" s="115" t="n">
        <v>46</v>
      </c>
      <c r="M39" s="115" t="n">
        <v>45</v>
      </c>
      <c r="N39" s="115" t="inlineStr">
        <is>
          <t>.</t>
        </is>
      </c>
      <c r="O39" s="115" t="inlineStr">
        <is>
          <t>.</t>
        </is>
      </c>
      <c r="P39" s="117">
        <f>+'SITUACION COMERCIAL'!S41</f>
        <v/>
      </c>
      <c r="Q39" s="118">
        <f>+MEJORAS!G38</f>
        <v/>
      </c>
      <c r="R39" s="118" t="n"/>
      <c r="S39" s="118">
        <f>+P39+Q39+R39</f>
        <v/>
      </c>
    </row>
    <row r="40" ht="14.25" customHeight="1">
      <c r="C40" s="590">
        <f>+'SITUACION COMERCIAL'!AB42</f>
        <v/>
      </c>
      <c r="D40" s="577" t="n"/>
      <c r="E40" s="578" t="n"/>
      <c r="G40" s="121">
        <f>+G39+1</f>
        <v/>
      </c>
      <c r="H40" s="122" t="n">
        <v>2</v>
      </c>
      <c r="I40" s="123" t="inlineStr">
        <is>
          <t>BAJA</t>
        </is>
      </c>
      <c r="J40" s="123" t="inlineStr">
        <is>
          <t>A</t>
        </is>
      </c>
      <c r="K40" s="123" t="n">
        <v>5</v>
      </c>
      <c r="L40" s="123" t="n">
        <v>22</v>
      </c>
      <c r="M40" s="123" t="n">
        <v>30</v>
      </c>
      <c r="N40" s="123" t="inlineStr">
        <is>
          <t>.</t>
        </is>
      </c>
      <c r="O40" s="123" t="inlineStr">
        <is>
          <t>.</t>
        </is>
      </c>
      <c r="P40" s="125">
        <f>+'SITUACION COMERCIAL'!S42</f>
        <v/>
      </c>
      <c r="Q40" s="126">
        <f>+MEJORAS!G39</f>
        <v/>
      </c>
      <c r="R40" s="126" t="n"/>
      <c r="S40" s="126">
        <f>+P40+Q40+R40</f>
        <v/>
      </c>
    </row>
    <row r="41" ht="14.25" customHeight="1">
      <c r="C41" s="590">
        <f>+'SITUACION COMERCIAL'!AB43</f>
        <v/>
      </c>
      <c r="D41" s="577" t="n"/>
      <c r="E41" s="578" t="n"/>
      <c r="G41" s="128">
        <f>+G40+1</f>
        <v/>
      </c>
      <c r="H41" s="129" t="n">
        <v>2</v>
      </c>
      <c r="I41" s="130" t="inlineStr">
        <is>
          <t>BAJA</t>
        </is>
      </c>
      <c r="J41" s="131" t="inlineStr">
        <is>
          <t>B</t>
        </is>
      </c>
      <c r="K41" s="131" t="n">
        <v>4</v>
      </c>
      <c r="L41" s="131" t="n">
        <v>21</v>
      </c>
      <c r="M41" s="131" t="n">
        <v>29</v>
      </c>
      <c r="N41" s="131" t="inlineStr">
        <is>
          <t>.</t>
        </is>
      </c>
      <c r="O41" s="131" t="inlineStr">
        <is>
          <t>.</t>
        </is>
      </c>
      <c r="P41" s="132">
        <f>+'SITUACION COMERCIAL'!S43</f>
        <v/>
      </c>
      <c r="Q41" s="133">
        <f>+MEJORAS!G40</f>
        <v/>
      </c>
      <c r="R41" s="133" t="n"/>
      <c r="S41" s="133">
        <f>+P41+Q41+R41</f>
        <v/>
      </c>
    </row>
    <row r="42" ht="14.25" customHeight="1">
      <c r="C42" s="590">
        <f>+'SITUACION COMERCIAL'!AB44</f>
        <v/>
      </c>
      <c r="D42" s="577" t="n"/>
      <c r="E42" s="578" t="n"/>
      <c r="G42" s="128">
        <f>+G41+1</f>
        <v/>
      </c>
      <c r="H42" s="129" t="n">
        <v>2</v>
      </c>
      <c r="I42" s="135" t="inlineStr">
        <is>
          <t>BAJA</t>
        </is>
      </c>
      <c r="J42" s="130" t="inlineStr">
        <is>
          <t>C</t>
        </is>
      </c>
      <c r="K42" s="130" t="n">
        <v>3</v>
      </c>
      <c r="L42" s="130" t="n">
        <v>33</v>
      </c>
      <c r="M42" s="130" t="n">
        <v>5</v>
      </c>
      <c r="N42" s="130" t="inlineStr">
        <is>
          <t>.</t>
        </is>
      </c>
      <c r="O42" s="130" t="inlineStr">
        <is>
          <t>.</t>
        </is>
      </c>
      <c r="P42" s="132">
        <f>+'SITUACION COMERCIAL'!S44</f>
        <v/>
      </c>
      <c r="Q42" s="133">
        <f>+MEJORAS!G41</f>
        <v/>
      </c>
      <c r="R42" s="133" t="n"/>
      <c r="S42" s="133">
        <f>+P42+Q42+R42</f>
        <v/>
      </c>
    </row>
    <row r="43" ht="14.25" customHeight="1">
      <c r="C43" s="590">
        <f>+'SITUACION COMERCIAL'!AB45</f>
        <v/>
      </c>
      <c r="D43" s="577" t="n"/>
      <c r="E43" s="578" t="n"/>
      <c r="G43" s="128">
        <f>+G42+1</f>
        <v/>
      </c>
      <c r="H43" s="129" t="n">
        <v>2</v>
      </c>
      <c r="I43" s="135" t="inlineStr">
        <is>
          <t>BAJA</t>
        </is>
      </c>
      <c r="J43" s="131" t="inlineStr">
        <is>
          <t>D</t>
        </is>
      </c>
      <c r="K43" s="131" t="n">
        <v>2</v>
      </c>
      <c r="L43" s="131" t="n">
        <v>20</v>
      </c>
      <c r="M43" s="131" t="n">
        <v>28</v>
      </c>
      <c r="N43" s="131" t="inlineStr">
        <is>
          <t>.</t>
        </is>
      </c>
      <c r="O43" s="131" t="inlineStr">
        <is>
          <t>.</t>
        </is>
      </c>
      <c r="P43" s="132">
        <f>+'SITUACION COMERCIAL'!S45</f>
        <v/>
      </c>
      <c r="Q43" s="133">
        <f>+MEJORAS!G42</f>
        <v/>
      </c>
      <c r="R43" s="133" t="n"/>
      <c r="S43" s="133">
        <f>+P43+Q43+R43</f>
        <v/>
      </c>
    </row>
    <row r="44" ht="14.25" customHeight="1" thickBot="1">
      <c r="C44" s="590">
        <f>+'SITUACION COMERCIAL'!AB46</f>
        <v/>
      </c>
      <c r="D44" s="577" t="n"/>
      <c r="E44" s="578" t="n"/>
      <c r="G44" s="137">
        <f>+G43+1</f>
        <v/>
      </c>
      <c r="H44" s="138" t="n">
        <v>2</v>
      </c>
      <c r="I44" s="139" t="inlineStr">
        <is>
          <t>BAJA</t>
        </is>
      </c>
      <c r="J44" s="140" t="inlineStr">
        <is>
          <t>E</t>
        </is>
      </c>
      <c r="K44" s="140" t="n">
        <v>3</v>
      </c>
      <c r="L44" s="140" t="n">
        <v>19</v>
      </c>
      <c r="M44" s="140" t="n">
        <v>27</v>
      </c>
      <c r="N44" s="140" t="inlineStr">
        <is>
          <t>.</t>
        </is>
      </c>
      <c r="O44" s="140" t="inlineStr">
        <is>
          <t>.</t>
        </is>
      </c>
      <c r="P44" s="142">
        <f>+'SITUACION COMERCIAL'!S46</f>
        <v/>
      </c>
      <c r="Q44" s="143">
        <f>+MEJORAS!G43</f>
        <v/>
      </c>
      <c r="R44" s="143" t="n"/>
      <c r="S44" s="143">
        <f>+P44+Q44+R44</f>
        <v/>
      </c>
    </row>
    <row r="45" ht="14.25" customHeight="1">
      <c r="C45" s="590">
        <f>+'SITUACION COMERCIAL'!AB47</f>
        <v/>
      </c>
      <c r="D45" s="577" t="n"/>
      <c r="E45" s="578" t="n"/>
      <c r="G45" s="145">
        <f>+G44+1</f>
        <v/>
      </c>
      <c r="H45" s="122" t="n">
        <v>2</v>
      </c>
      <c r="I45" s="123" t="n">
        <v>1</v>
      </c>
      <c r="J45" s="123" t="inlineStr">
        <is>
          <t>A</t>
        </is>
      </c>
      <c r="K45" s="123" t="n">
        <v>5</v>
      </c>
      <c r="L45" s="123" t="n">
        <v>61</v>
      </c>
      <c r="M45" s="123" t="n">
        <v>55</v>
      </c>
      <c r="N45" s="123" t="n">
        <v>39</v>
      </c>
      <c r="O45" s="123" t="inlineStr">
        <is>
          <t>.</t>
        </is>
      </c>
      <c r="P45" s="125">
        <f>+'SITUACION COMERCIAL'!S47</f>
        <v/>
      </c>
      <c r="Q45" s="126">
        <f>+MEJORAS!G44</f>
        <v/>
      </c>
      <c r="R45" s="126" t="n">
        <v>5750</v>
      </c>
      <c r="S45" s="126">
        <f>+P45+Q45+R45</f>
        <v/>
      </c>
    </row>
    <row r="46" ht="14.25" customHeight="1">
      <c r="C46" s="590">
        <f>+'SITUACION COMERCIAL'!AB48</f>
        <v/>
      </c>
      <c r="D46" s="577" t="n"/>
      <c r="E46" s="578" t="n"/>
      <c r="G46" s="147">
        <f>+G45+1</f>
        <v/>
      </c>
      <c r="H46" s="148" t="n">
        <v>2</v>
      </c>
      <c r="I46" s="131" t="n">
        <v>1</v>
      </c>
      <c r="J46" s="131" t="inlineStr">
        <is>
          <t>B</t>
        </is>
      </c>
      <c r="K46" s="131" t="n">
        <v>4</v>
      </c>
      <c r="L46" s="131" t="n">
        <v>34</v>
      </c>
      <c r="M46" s="131" t="n">
        <v>17</v>
      </c>
      <c r="N46" s="131" t="inlineStr">
        <is>
          <t>.</t>
        </is>
      </c>
      <c r="O46" s="131" t="inlineStr">
        <is>
          <t>.</t>
        </is>
      </c>
      <c r="P46" s="150">
        <f>+'SITUACION COMERCIAL'!S48</f>
        <v/>
      </c>
      <c r="Q46" s="133">
        <f>+MEJORAS!G45</f>
        <v/>
      </c>
      <c r="R46" s="133" t="n"/>
      <c r="S46" s="133">
        <f>+P46+Q46+R46</f>
        <v/>
      </c>
    </row>
    <row r="47" ht="14.25" customHeight="1">
      <c r="C47" s="590">
        <f>+'SITUACION COMERCIAL'!AB49</f>
        <v/>
      </c>
      <c r="D47" s="577" t="n"/>
      <c r="E47" s="578" t="n"/>
      <c r="G47" s="128">
        <f>+G46+1</f>
        <v/>
      </c>
      <c r="H47" s="129" t="n">
        <v>2</v>
      </c>
      <c r="I47" s="135" t="n">
        <v>1</v>
      </c>
      <c r="J47" s="130" t="inlineStr">
        <is>
          <t>C</t>
        </is>
      </c>
      <c r="K47" s="130" t="n">
        <v>3</v>
      </c>
      <c r="L47" s="130" t="n">
        <v>3</v>
      </c>
      <c r="M47" s="130" t="n">
        <v>3</v>
      </c>
      <c r="N47" s="130" t="inlineStr">
        <is>
          <t>.</t>
        </is>
      </c>
      <c r="O47" s="130" t="inlineStr">
        <is>
          <t>.</t>
        </is>
      </c>
      <c r="P47" s="132">
        <f>+'SITUACION COMERCIAL'!S49</f>
        <v/>
      </c>
      <c r="Q47" s="133">
        <f>+MEJORAS!G46</f>
        <v/>
      </c>
      <c r="R47" s="133" t="n"/>
      <c r="S47" s="133">
        <f>+P47+Q47+R47</f>
        <v/>
      </c>
    </row>
    <row r="48" ht="14.25" customHeight="1">
      <c r="C48" s="590">
        <f>+'SITUACION COMERCIAL'!AB50</f>
        <v/>
      </c>
      <c r="D48" s="577" t="n"/>
      <c r="E48" s="578" t="n"/>
      <c r="G48" s="128">
        <f>+G47+1</f>
        <v/>
      </c>
      <c r="H48" s="129" t="n">
        <v>2</v>
      </c>
      <c r="I48" s="130" t="n">
        <v>1</v>
      </c>
      <c r="J48" s="130" t="inlineStr">
        <is>
          <t>D</t>
        </is>
      </c>
      <c r="K48" s="130" t="n">
        <v>2</v>
      </c>
      <c r="L48" s="130" t="n">
        <v>36</v>
      </c>
      <c r="M48" s="130" t="n">
        <v>39</v>
      </c>
      <c r="N48" s="130" t="inlineStr">
        <is>
          <t>.</t>
        </is>
      </c>
      <c r="O48" s="130" t="inlineStr">
        <is>
          <t>.</t>
        </is>
      </c>
      <c r="P48" s="132">
        <f>+'SITUACION COMERCIAL'!S50</f>
        <v/>
      </c>
      <c r="Q48" s="133">
        <f>+MEJORAS!G47</f>
        <v/>
      </c>
      <c r="R48" s="133" t="n">
        <v>2850</v>
      </c>
      <c r="S48" s="133">
        <f>+P48+Q48+R48</f>
        <v/>
      </c>
    </row>
    <row r="49" ht="14.25" customHeight="1" thickBot="1">
      <c r="C49" s="590">
        <f>+'SITUACION COMERCIAL'!AB51</f>
        <v/>
      </c>
      <c r="D49" s="577" t="n"/>
      <c r="E49" s="578" t="n"/>
      <c r="G49" s="137">
        <f>+G48+1</f>
        <v/>
      </c>
      <c r="H49" s="138" t="n">
        <v>2</v>
      </c>
      <c r="I49" s="151" t="n">
        <v>1</v>
      </c>
      <c r="J49" s="140" t="inlineStr">
        <is>
          <t>E</t>
        </is>
      </c>
      <c r="K49" s="140" t="n">
        <v>3</v>
      </c>
      <c r="L49" s="140" t="n">
        <v>4</v>
      </c>
      <c r="M49" s="140" t="n">
        <v>4</v>
      </c>
      <c r="N49" s="140" t="inlineStr">
        <is>
          <t>.</t>
        </is>
      </c>
      <c r="O49" s="140" t="inlineStr">
        <is>
          <t>.</t>
        </is>
      </c>
      <c r="P49" s="142">
        <f>+'SITUACION COMERCIAL'!S51</f>
        <v/>
      </c>
      <c r="Q49" s="143">
        <f>+MEJORAS!G48</f>
        <v/>
      </c>
      <c r="R49" s="143" t="n">
        <v>3990</v>
      </c>
      <c r="S49" s="143">
        <f>+P49+Q49+R49</f>
        <v/>
      </c>
    </row>
    <row r="50" ht="14.25" customHeight="1">
      <c r="C50" s="590">
        <f>+'SITUACION COMERCIAL'!AB52</f>
        <v/>
      </c>
      <c r="D50" s="577" t="n"/>
      <c r="E50" s="578" t="n"/>
      <c r="G50" s="147">
        <f>+G49+1</f>
        <v/>
      </c>
      <c r="H50" s="148" t="n">
        <v>2</v>
      </c>
      <c r="I50" s="131" t="n">
        <v>2</v>
      </c>
      <c r="J50" s="131" t="inlineStr">
        <is>
          <t>A</t>
        </is>
      </c>
      <c r="K50" s="131" t="n">
        <v>5</v>
      </c>
      <c r="L50" s="152" t="n">
        <v>64</v>
      </c>
      <c r="M50" s="152" t="n">
        <v>58</v>
      </c>
      <c r="N50" s="153" t="n">
        <v>35</v>
      </c>
      <c r="O50" s="154" t="inlineStr">
        <is>
          <t>.</t>
        </is>
      </c>
      <c r="P50" s="150">
        <f>+'SITUACION COMERCIAL'!S52</f>
        <v/>
      </c>
      <c r="Q50" s="126">
        <f>+MEJORAS!G49</f>
        <v/>
      </c>
      <c r="R50" s="126" t="n"/>
      <c r="S50" s="126">
        <f>+P50+Q50+R50</f>
        <v/>
      </c>
    </row>
    <row r="51" ht="14.25" customHeight="1">
      <c r="C51" s="590">
        <f>+'SITUACION COMERCIAL'!AB53</f>
        <v/>
      </c>
      <c r="D51" s="577" t="n"/>
      <c r="E51" s="578" t="n"/>
      <c r="G51" s="147">
        <f>+G50+1</f>
        <v/>
      </c>
      <c r="H51" s="148" t="n">
        <v>2</v>
      </c>
      <c r="I51" s="156" t="n">
        <v>2</v>
      </c>
      <c r="J51" s="157" t="inlineStr">
        <is>
          <t>B</t>
        </is>
      </c>
      <c r="K51" s="156" t="n">
        <v>4</v>
      </c>
      <c r="L51" s="158" t="n">
        <v>17</v>
      </c>
      <c r="M51" s="125" t="n">
        <v>24</v>
      </c>
      <c r="N51" s="156" t="inlineStr">
        <is>
          <t>.</t>
        </is>
      </c>
      <c r="O51" s="150" t="inlineStr">
        <is>
          <t>.</t>
        </is>
      </c>
      <c r="P51" s="150">
        <f>+'SITUACION COMERCIAL'!S53</f>
        <v/>
      </c>
      <c r="Q51" s="133">
        <f>+MEJORAS!G50</f>
        <v/>
      </c>
      <c r="R51" s="133" t="n"/>
      <c r="S51" s="133">
        <f>+P51+Q51+R51</f>
        <v/>
      </c>
    </row>
    <row r="52" ht="14.25" customHeight="1">
      <c r="C52" s="590">
        <f>+'SITUACION COMERCIAL'!AB54</f>
        <v/>
      </c>
      <c r="D52" s="577" t="n"/>
      <c r="E52" s="578" t="n"/>
      <c r="G52" s="159">
        <f>+G51+1</f>
        <v/>
      </c>
      <c r="H52" s="160" t="n">
        <v>2</v>
      </c>
      <c r="I52" s="161" t="n">
        <v>2</v>
      </c>
      <c r="J52" s="162" t="inlineStr">
        <is>
          <t>C</t>
        </is>
      </c>
      <c r="K52" s="162" t="n">
        <v>3</v>
      </c>
      <c r="L52" s="162" t="n">
        <v>7</v>
      </c>
      <c r="M52" s="163" t="n">
        <v>11</v>
      </c>
      <c r="N52" s="130" t="inlineStr">
        <is>
          <t>.</t>
        </is>
      </c>
      <c r="O52" s="130" t="inlineStr">
        <is>
          <t>.</t>
        </is>
      </c>
      <c r="P52" s="150">
        <f>+'SITUACION COMERCIAL'!S54</f>
        <v/>
      </c>
      <c r="Q52" s="133">
        <f>+MEJORAS!G51</f>
        <v/>
      </c>
      <c r="R52" s="133" t="n"/>
      <c r="S52" s="133">
        <f>+P52+Q52+R52</f>
        <v/>
      </c>
    </row>
    <row r="53" ht="14.25" customHeight="1">
      <c r="C53" s="590">
        <f>+'SITUACION COMERCIAL'!AB55</f>
        <v/>
      </c>
      <c r="D53" s="577" t="n"/>
      <c r="E53" s="578" t="n"/>
      <c r="G53" s="128">
        <f>+G52+1</f>
        <v/>
      </c>
      <c r="H53" s="129" t="n">
        <v>2</v>
      </c>
      <c r="I53" s="135" t="n">
        <v>2</v>
      </c>
      <c r="J53" s="130" t="inlineStr">
        <is>
          <t>D</t>
        </is>
      </c>
      <c r="K53" s="130" t="n">
        <v>2</v>
      </c>
      <c r="L53" s="130" t="n">
        <v>66</v>
      </c>
      <c r="M53" s="130" t="n">
        <v>61</v>
      </c>
      <c r="N53" s="130" t="inlineStr">
        <is>
          <t>.</t>
        </is>
      </c>
      <c r="O53" s="130" t="inlineStr">
        <is>
          <t>.</t>
        </is>
      </c>
      <c r="P53" s="150">
        <f>+'SITUACION COMERCIAL'!S55</f>
        <v/>
      </c>
      <c r="Q53" s="133">
        <f>+MEJORAS!G52</f>
        <v/>
      </c>
      <c r="R53" s="133" t="n"/>
      <c r="S53" s="133">
        <f>+P53+Q53+R53</f>
        <v/>
      </c>
    </row>
    <row r="54" ht="14.25" customHeight="1" thickBot="1">
      <c r="C54" s="590">
        <f>+'SITUACION COMERCIAL'!AB56</f>
        <v/>
      </c>
      <c r="D54" s="577" t="n"/>
      <c r="E54" s="578" t="n"/>
      <c r="G54" s="137">
        <f>+G53+1</f>
        <v/>
      </c>
      <c r="H54" s="138" t="n">
        <v>2</v>
      </c>
      <c r="I54" s="139" t="n">
        <v>2</v>
      </c>
      <c r="J54" s="140" t="inlineStr">
        <is>
          <t>E</t>
        </is>
      </c>
      <c r="K54" s="140" t="n">
        <v>3</v>
      </c>
      <c r="L54" s="140" t="n">
        <v>5</v>
      </c>
      <c r="M54" s="140" t="n">
        <v>8</v>
      </c>
      <c r="N54" s="140" t="inlineStr">
        <is>
          <t>.</t>
        </is>
      </c>
      <c r="O54" s="140" t="inlineStr">
        <is>
          <t>.</t>
        </is>
      </c>
      <c r="P54" s="167">
        <f>+'SITUACION COMERCIAL'!S56</f>
        <v/>
      </c>
      <c r="Q54" s="143">
        <f>+MEJORAS!G53</f>
        <v/>
      </c>
      <c r="R54" s="143" t="n"/>
      <c r="S54" s="143">
        <f>+P54+Q54+R54</f>
        <v/>
      </c>
    </row>
    <row r="55" ht="14.25" customHeight="1">
      <c r="C55" s="590">
        <f>+'SITUACION COMERCIAL'!AB57</f>
        <v/>
      </c>
      <c r="D55" s="577" t="n"/>
      <c r="E55" s="578" t="n"/>
      <c r="G55" s="168">
        <f>+G54+1</f>
        <v/>
      </c>
      <c r="H55" s="169" t="n">
        <v>2</v>
      </c>
      <c r="I55" s="156" t="n">
        <v>3</v>
      </c>
      <c r="J55" s="170" t="inlineStr">
        <is>
          <t>A</t>
        </is>
      </c>
      <c r="K55" s="156" t="n">
        <v>5</v>
      </c>
      <c r="L55" s="156" t="n">
        <v>63</v>
      </c>
      <c r="M55" s="156" t="n">
        <v>57</v>
      </c>
      <c r="N55" s="156" t="inlineStr">
        <is>
          <t>.</t>
        </is>
      </c>
      <c r="O55" s="156" t="inlineStr">
        <is>
          <t>.</t>
        </is>
      </c>
      <c r="P55" s="150">
        <f>+'SITUACION COMERCIAL'!S57</f>
        <v/>
      </c>
      <c r="Q55" s="126">
        <f>+MEJORAS!G54</f>
        <v/>
      </c>
      <c r="R55" s="126" t="n">
        <v>5750</v>
      </c>
      <c r="S55" s="126">
        <f>+P55+Q55+R55</f>
        <v/>
      </c>
    </row>
    <row r="56" ht="14.25" customHeight="1">
      <c r="C56" s="590">
        <f>+'SITUACION COMERCIAL'!AB58</f>
        <v/>
      </c>
      <c r="D56" s="577" t="n"/>
      <c r="E56" s="578" t="n"/>
      <c r="G56" s="168">
        <f>+G55+1</f>
        <v/>
      </c>
      <c r="H56" s="169" t="n">
        <v>2</v>
      </c>
      <c r="I56" s="156" t="n">
        <v>3</v>
      </c>
      <c r="J56" s="170" t="inlineStr">
        <is>
          <t>B</t>
        </is>
      </c>
      <c r="K56" s="156" t="n">
        <v>4</v>
      </c>
      <c r="L56" s="156" t="n">
        <v>37</v>
      </c>
      <c r="M56" s="156" t="n">
        <v>40</v>
      </c>
      <c r="N56" s="156" t="inlineStr">
        <is>
          <t>.</t>
        </is>
      </c>
      <c r="O56" s="156" t="inlineStr">
        <is>
          <t>.</t>
        </is>
      </c>
      <c r="P56" s="150">
        <f>+'SITUACION COMERCIAL'!S58</f>
        <v/>
      </c>
      <c r="Q56" s="133">
        <f>+MEJORAS!G55</f>
        <v/>
      </c>
      <c r="R56" s="133" t="n"/>
      <c r="S56" s="133">
        <f>+P56+Q56+R56</f>
        <v/>
      </c>
    </row>
    <row r="57" ht="14.25" customHeight="1">
      <c r="C57" s="590">
        <f>+'SITUACION COMERCIAL'!AB59</f>
        <v/>
      </c>
      <c r="D57" s="577" t="n"/>
      <c r="E57" s="578" t="n"/>
      <c r="G57" s="171">
        <f>+G56+1</f>
        <v/>
      </c>
      <c r="H57" s="129" t="n">
        <v>2</v>
      </c>
      <c r="I57" s="135" t="n">
        <v>3</v>
      </c>
      <c r="J57" s="130" t="inlineStr">
        <is>
          <t>C</t>
        </is>
      </c>
      <c r="K57" s="130" t="n">
        <v>3</v>
      </c>
      <c r="L57" s="130" t="n">
        <v>18</v>
      </c>
      <c r="M57" s="130" t="n">
        <v>26</v>
      </c>
      <c r="N57" s="130" t="inlineStr">
        <is>
          <t>.</t>
        </is>
      </c>
      <c r="O57" s="130" t="inlineStr">
        <is>
          <t>.</t>
        </is>
      </c>
      <c r="P57" s="150">
        <f>+'SITUACION COMERCIAL'!S59</f>
        <v/>
      </c>
      <c r="Q57" s="133">
        <f>+MEJORAS!G56</f>
        <v/>
      </c>
      <c r="R57" s="133" t="n"/>
      <c r="S57" s="133">
        <f>+P57+Q57+R57</f>
        <v/>
      </c>
    </row>
    <row r="58" ht="14.25" customHeight="1">
      <c r="C58" s="590">
        <f>+'SITUACION COMERCIAL'!AB60</f>
        <v/>
      </c>
      <c r="D58" s="577" t="n"/>
      <c r="E58" s="578" t="n"/>
      <c r="G58" s="128">
        <f>+G57+1</f>
        <v/>
      </c>
      <c r="H58" s="129" t="n">
        <v>2</v>
      </c>
      <c r="I58" s="135" t="n">
        <v>3</v>
      </c>
      <c r="J58" s="130" t="inlineStr">
        <is>
          <t>D</t>
        </is>
      </c>
      <c r="K58" s="130" t="n">
        <v>2</v>
      </c>
      <c r="L58" s="130" t="n">
        <v>67</v>
      </c>
      <c r="M58" s="130" t="n">
        <v>62</v>
      </c>
      <c r="N58" s="130" t="inlineStr">
        <is>
          <t>.</t>
        </is>
      </c>
      <c r="O58" s="130" t="inlineStr">
        <is>
          <t>.</t>
        </is>
      </c>
      <c r="P58" s="150">
        <f>+'SITUACION COMERCIAL'!S60</f>
        <v/>
      </c>
      <c r="Q58" s="133">
        <f>+MEJORAS!G57</f>
        <v/>
      </c>
      <c r="R58" s="133" t="n"/>
      <c r="S58" s="133">
        <f>+P58+Q58+R58</f>
        <v/>
      </c>
    </row>
    <row r="59" ht="14.25" customHeight="1" thickBot="1">
      <c r="C59" s="590">
        <f>+'SITUACION COMERCIAL'!AB61</f>
        <v/>
      </c>
      <c r="D59" s="577" t="n"/>
      <c r="E59" s="578" t="n"/>
      <c r="G59" s="172">
        <f>+G58+1</f>
        <v/>
      </c>
      <c r="H59" s="173" t="n">
        <v>2</v>
      </c>
      <c r="I59" s="174" t="n">
        <v>3</v>
      </c>
      <c r="J59" s="175" t="inlineStr">
        <is>
          <t>E</t>
        </is>
      </c>
      <c r="K59" s="175" t="n">
        <v>3</v>
      </c>
      <c r="L59" s="175" t="n">
        <v>23</v>
      </c>
      <c r="M59" s="175" t="n">
        <v>31</v>
      </c>
      <c r="N59" s="176" t="inlineStr">
        <is>
          <t>.</t>
        </is>
      </c>
      <c r="O59" s="176" t="inlineStr">
        <is>
          <t>.</t>
        </is>
      </c>
      <c r="P59" s="180">
        <f>+'SITUACION COMERCIAL'!S61</f>
        <v/>
      </c>
      <c r="Q59" s="181">
        <f>+MEJORAS!G58</f>
        <v/>
      </c>
      <c r="R59" s="181" t="n"/>
      <c r="S59" s="181">
        <f>+P59+Q59+R59</f>
        <v/>
      </c>
    </row>
    <row r="60" ht="14.25" customHeight="1">
      <c r="C60" s="590">
        <f>+'SITUACION COMERCIAL'!AB62</f>
        <v/>
      </c>
      <c r="D60" s="577" t="n"/>
      <c r="E60" s="578" t="n"/>
      <c r="G60" s="16">
        <f>+G59+1</f>
        <v/>
      </c>
      <c r="H60" s="17" t="n">
        <v>3</v>
      </c>
      <c r="I60" s="183" t="inlineStr">
        <is>
          <t>BAJA</t>
        </is>
      </c>
      <c r="J60" s="18" t="inlineStr">
        <is>
          <t>A</t>
        </is>
      </c>
      <c r="K60" s="183" t="n">
        <v>3</v>
      </c>
      <c r="L60" s="183" t="n">
        <v>1</v>
      </c>
      <c r="M60" s="183" t="n">
        <v>1</v>
      </c>
      <c r="N60" s="183" t="inlineStr">
        <is>
          <t>.</t>
        </is>
      </c>
      <c r="O60" s="183" t="inlineStr">
        <is>
          <t>.</t>
        </is>
      </c>
      <c r="P60" s="185">
        <f>+'SITUACION COMERCIAL'!S62</f>
        <v/>
      </c>
      <c r="Q60" s="66">
        <f>+MEJORAS!G59</f>
        <v/>
      </c>
      <c r="R60" s="66" t="n"/>
      <c r="S60" s="66">
        <f>+P60+Q60+R60</f>
        <v/>
      </c>
    </row>
    <row r="61" ht="14.25" customHeight="1">
      <c r="C61" s="590">
        <f>+'SITUACION COMERCIAL'!AB63</f>
        <v/>
      </c>
      <c r="D61" s="577" t="n"/>
      <c r="E61" s="578" t="n"/>
      <c r="G61" s="34">
        <f>+G60+1</f>
        <v/>
      </c>
      <c r="H61" s="35" t="n">
        <v>3</v>
      </c>
      <c r="I61" s="186" t="inlineStr">
        <is>
          <t>BAJA</t>
        </is>
      </c>
      <c r="J61" s="100" t="inlineStr">
        <is>
          <t>B</t>
        </is>
      </c>
      <c r="K61" s="186" t="n">
        <v>4</v>
      </c>
      <c r="L61" s="186" t="n">
        <v>2</v>
      </c>
      <c r="M61" s="186" t="n">
        <v>2</v>
      </c>
      <c r="N61" s="186" t="inlineStr">
        <is>
          <t>.</t>
        </is>
      </c>
      <c r="O61" s="186" t="inlineStr">
        <is>
          <t>.</t>
        </is>
      </c>
      <c r="P61" s="188">
        <f>+'SITUACION COMERCIAL'!S63</f>
        <v/>
      </c>
      <c r="Q61" s="40">
        <f>+MEJORAS!G60</f>
        <v/>
      </c>
      <c r="R61" s="40" t="n"/>
      <c r="S61" s="40">
        <f>+P61+Q61+R61</f>
        <v/>
      </c>
    </row>
    <row r="62" ht="14.25" customHeight="1">
      <c r="C62" s="590">
        <f>+'SITUACION COMERCIAL'!AB64</f>
        <v/>
      </c>
      <c r="D62" s="577" t="n"/>
      <c r="E62" s="578" t="n"/>
      <c r="G62" s="34">
        <f>+G61+1</f>
        <v/>
      </c>
      <c r="H62" s="35" t="n">
        <v>3</v>
      </c>
      <c r="I62" s="186" t="inlineStr">
        <is>
          <t>BAJA</t>
        </is>
      </c>
      <c r="J62" s="100" t="inlineStr">
        <is>
          <t>C</t>
        </is>
      </c>
      <c r="K62" s="186" t="n">
        <v>4</v>
      </c>
      <c r="L62" s="186" t="n">
        <v>27</v>
      </c>
      <c r="M62" s="186" t="n">
        <v>36</v>
      </c>
      <c r="N62" s="186" t="n">
        <v>55</v>
      </c>
      <c r="O62" s="186" t="inlineStr">
        <is>
          <t>.</t>
        </is>
      </c>
      <c r="P62" s="188">
        <f>+'SITUACION COMERCIAL'!S64</f>
        <v/>
      </c>
      <c r="Q62" s="40">
        <f>+MEJORAS!G61</f>
        <v/>
      </c>
      <c r="R62" s="40" t="n"/>
      <c r="S62" s="40">
        <f>+P62+Q62+R62</f>
        <v/>
      </c>
    </row>
    <row r="63" ht="14.25" customHeight="1" thickBot="1">
      <c r="C63" s="590">
        <f>+'SITUACION COMERCIAL'!AB65</f>
        <v/>
      </c>
      <c r="D63" s="577" t="n"/>
      <c r="E63" s="578" t="n"/>
      <c r="G63" s="80">
        <f>+G62+1</f>
        <v/>
      </c>
      <c r="H63" s="81" t="n">
        <v>3</v>
      </c>
      <c r="I63" s="191" t="inlineStr">
        <is>
          <t>BAJA</t>
        </is>
      </c>
      <c r="J63" s="82" t="inlineStr">
        <is>
          <t>D</t>
        </is>
      </c>
      <c r="K63" s="191" t="n">
        <v>3</v>
      </c>
      <c r="L63" s="191" t="n">
        <v>26</v>
      </c>
      <c r="M63" s="191" t="n">
        <v>35</v>
      </c>
      <c r="N63" s="191" t="inlineStr">
        <is>
          <t>.</t>
        </is>
      </c>
      <c r="O63" s="191" t="inlineStr">
        <is>
          <t>.</t>
        </is>
      </c>
      <c r="P63" s="56">
        <f>+'SITUACION COMERCIAL'!S65</f>
        <v/>
      </c>
      <c r="Q63" s="57">
        <f>+MEJORAS!G62</f>
        <v/>
      </c>
      <c r="R63" s="57" t="n"/>
      <c r="S63" s="57">
        <f>+P63+Q63+R63</f>
        <v/>
      </c>
    </row>
    <row r="64" ht="14.25" customHeight="1">
      <c r="C64" s="590">
        <f>+'SITUACION COMERCIAL'!AB66</f>
        <v/>
      </c>
      <c r="D64" s="577" t="n"/>
      <c r="E64" s="578" t="n"/>
      <c r="G64" s="193">
        <f>+G63+1</f>
        <v/>
      </c>
      <c r="H64" s="59" t="n">
        <v>3</v>
      </c>
      <c r="I64" s="194" t="n">
        <v>1</v>
      </c>
      <c r="J64" s="60" t="inlineStr">
        <is>
          <t>A</t>
        </is>
      </c>
      <c r="K64" s="194" t="n">
        <v>3</v>
      </c>
      <c r="L64" s="194" t="n">
        <v>28</v>
      </c>
      <c r="M64" s="194" t="n">
        <v>37</v>
      </c>
      <c r="N64" s="194" t="inlineStr">
        <is>
          <t>.</t>
        </is>
      </c>
      <c r="O64" s="194" t="inlineStr">
        <is>
          <t>.</t>
        </is>
      </c>
      <c r="P64" s="197">
        <f>+'SITUACION COMERCIAL'!S66</f>
        <v/>
      </c>
      <c r="Q64" s="66">
        <f>+MEJORAS!G63</f>
        <v/>
      </c>
      <c r="R64" s="66" t="n"/>
      <c r="S64" s="66">
        <f>+P64+Q64+R64</f>
        <v/>
      </c>
    </row>
    <row r="65" ht="14.25" customHeight="1">
      <c r="C65" s="590">
        <f>+'SITUACION COMERCIAL'!AB67</f>
        <v/>
      </c>
      <c r="D65" s="577" t="n"/>
      <c r="E65" s="578" t="n"/>
      <c r="G65" s="34">
        <f>+G64+1</f>
        <v/>
      </c>
      <c r="H65" s="35" t="n">
        <v>3</v>
      </c>
      <c r="I65" s="186" t="n">
        <v>1</v>
      </c>
      <c r="J65" s="100" t="inlineStr">
        <is>
          <t>B</t>
        </is>
      </c>
      <c r="K65" s="186" t="n">
        <v>4</v>
      </c>
      <c r="L65" s="186" t="n">
        <v>29</v>
      </c>
      <c r="M65" s="186" t="n">
        <v>38</v>
      </c>
      <c r="N65" s="186" t="inlineStr">
        <is>
          <t>.</t>
        </is>
      </c>
      <c r="O65" s="186" t="inlineStr">
        <is>
          <t>.</t>
        </is>
      </c>
      <c r="P65" s="188">
        <f>+'SITUACION COMERCIAL'!S67</f>
        <v/>
      </c>
      <c r="Q65" s="40">
        <f>+MEJORAS!G64</f>
        <v/>
      </c>
      <c r="R65" s="40" t="n"/>
      <c r="S65" s="40">
        <f>+P65+Q65+R65</f>
        <v/>
      </c>
    </row>
    <row r="66" ht="14.25" customHeight="1">
      <c r="C66" s="590">
        <f>+'SITUACION COMERCIAL'!AB68</f>
        <v/>
      </c>
      <c r="D66" s="577" t="n"/>
      <c r="E66" s="578" t="n"/>
      <c r="G66" s="34">
        <f>+G65+1</f>
        <v/>
      </c>
      <c r="H66" s="35" t="n">
        <v>3</v>
      </c>
      <c r="I66" s="186" t="n">
        <v>1</v>
      </c>
      <c r="J66" s="100" t="inlineStr">
        <is>
          <t>C</t>
        </is>
      </c>
      <c r="K66" s="186" t="n">
        <v>4</v>
      </c>
      <c r="L66" s="186" t="n">
        <v>30</v>
      </c>
      <c r="M66" s="186" t="n">
        <v>34</v>
      </c>
      <c r="N66" s="186" t="inlineStr">
        <is>
          <t>.</t>
        </is>
      </c>
      <c r="O66" s="186" t="inlineStr">
        <is>
          <t>.</t>
        </is>
      </c>
      <c r="P66" s="188">
        <f>+'SITUACION COMERCIAL'!S68</f>
        <v/>
      </c>
      <c r="Q66" s="40">
        <f>+MEJORAS!G65</f>
        <v/>
      </c>
      <c r="R66" s="40" t="n">
        <v>4300</v>
      </c>
      <c r="S66" s="40">
        <f>+P66+Q66+R66</f>
        <v/>
      </c>
    </row>
    <row r="67" ht="14.25" customHeight="1" thickBot="1">
      <c r="C67" s="590">
        <f>+'SITUACION COMERCIAL'!AB69</f>
        <v/>
      </c>
      <c r="D67" s="577" t="n"/>
      <c r="E67" s="578" t="n"/>
      <c r="G67" s="34">
        <f>+G66+1</f>
        <v/>
      </c>
      <c r="H67" s="81" t="n">
        <v>3</v>
      </c>
      <c r="I67" s="191" t="n">
        <v>1</v>
      </c>
      <c r="J67" s="82" t="inlineStr">
        <is>
          <t>D</t>
        </is>
      </c>
      <c r="K67" s="191" t="n">
        <v>3</v>
      </c>
      <c r="L67" s="191" t="n">
        <v>32</v>
      </c>
      <c r="M67" s="191" t="n">
        <v>41</v>
      </c>
      <c r="N67" s="191" t="inlineStr">
        <is>
          <t>.</t>
        </is>
      </c>
      <c r="O67" s="191" t="inlineStr">
        <is>
          <t>.</t>
        </is>
      </c>
      <c r="P67" s="56">
        <f>+'SITUACION COMERCIAL'!S69</f>
        <v/>
      </c>
      <c r="Q67" s="57">
        <f>+MEJORAS!G66</f>
        <v/>
      </c>
      <c r="R67" s="57" t="n"/>
      <c r="S67" s="57">
        <f>+P67+Q67+R67</f>
        <v/>
      </c>
    </row>
    <row r="68" ht="14.25" customHeight="1" thickBot="1">
      <c r="C68" s="590">
        <f>+'SITUACION COMERCIAL'!AB70</f>
        <v/>
      </c>
      <c r="D68" s="577" t="n"/>
      <c r="E68" s="578" t="n"/>
      <c r="G68" s="34">
        <f>+G67+1</f>
        <v/>
      </c>
      <c r="H68" s="59" t="n">
        <v>3</v>
      </c>
      <c r="I68" s="194" t="n">
        <v>2</v>
      </c>
      <c r="J68" s="60" t="inlineStr">
        <is>
          <t>A</t>
        </is>
      </c>
      <c r="K68" s="194" t="n">
        <v>3</v>
      </c>
      <c r="L68" s="259" t="n">
        <v>72</v>
      </c>
      <c r="M68" s="191" t="n">
        <v>67</v>
      </c>
      <c r="N68" s="194" t="inlineStr">
        <is>
          <t>.</t>
        </is>
      </c>
      <c r="O68" s="194" t="inlineStr">
        <is>
          <t>.</t>
        </is>
      </c>
      <c r="P68" s="197">
        <f>+'SITUACION COMERCIAL'!S70</f>
        <v/>
      </c>
      <c r="Q68" s="66">
        <f>+MEJORAS!G67</f>
        <v/>
      </c>
      <c r="R68" s="66" t="n"/>
      <c r="S68" s="66">
        <f>+P68+Q68+R68</f>
        <v/>
      </c>
    </row>
    <row r="69" ht="14.25" customHeight="1">
      <c r="C69" s="590">
        <f>+'SITUACION COMERCIAL'!AB71</f>
        <v/>
      </c>
      <c r="D69" s="577" t="n"/>
      <c r="E69" s="578" t="n"/>
      <c r="G69" s="34">
        <f>+G68+1</f>
        <v/>
      </c>
      <c r="H69" s="35" t="n">
        <v>3</v>
      </c>
      <c r="I69" s="186" t="n">
        <v>2</v>
      </c>
      <c r="J69" s="100" t="inlineStr">
        <is>
          <t>B</t>
        </is>
      </c>
      <c r="K69" s="186" t="n">
        <v>4</v>
      </c>
      <c r="L69" s="186" t="n">
        <v>25</v>
      </c>
      <c r="M69" s="186" t="n">
        <v>33</v>
      </c>
      <c r="N69" s="186" t="inlineStr">
        <is>
          <t>.</t>
        </is>
      </c>
      <c r="O69" s="186" t="inlineStr">
        <is>
          <t>.</t>
        </is>
      </c>
      <c r="P69" s="188">
        <f>+'SITUACION COMERCIAL'!S71</f>
        <v/>
      </c>
      <c r="Q69" s="40">
        <f>+MEJORAS!G68</f>
        <v/>
      </c>
      <c r="R69" s="40" t="n">
        <v>4300</v>
      </c>
      <c r="S69" s="40">
        <f>+P69+Q69+R69</f>
        <v/>
      </c>
    </row>
    <row r="70" ht="14.25" customHeight="1">
      <c r="C70" s="590">
        <f>+'SITUACION COMERCIAL'!AB72</f>
        <v/>
      </c>
      <c r="D70" s="577" t="n"/>
      <c r="E70" s="578" t="n"/>
      <c r="G70" s="34">
        <f>+G69+1</f>
        <v/>
      </c>
      <c r="H70" s="35" t="n">
        <v>3</v>
      </c>
      <c r="I70" s="186" t="n">
        <v>2</v>
      </c>
      <c r="J70" s="100" t="inlineStr">
        <is>
          <t>C</t>
        </is>
      </c>
      <c r="K70" s="186" t="n">
        <v>4</v>
      </c>
      <c r="L70" s="186" t="n">
        <v>24</v>
      </c>
      <c r="M70" s="186" t="n">
        <v>32</v>
      </c>
      <c r="N70" s="186" t="inlineStr">
        <is>
          <t>.</t>
        </is>
      </c>
      <c r="O70" s="186" t="inlineStr">
        <is>
          <t>.</t>
        </is>
      </c>
      <c r="P70" s="188">
        <f>+'SITUACION COMERCIAL'!S72</f>
        <v/>
      </c>
      <c r="Q70" s="40">
        <f>+MEJORAS!G69</f>
        <v/>
      </c>
      <c r="R70" s="40" t="n"/>
      <c r="S70" s="40">
        <f>+P70+Q70+R70</f>
        <v/>
      </c>
    </row>
    <row r="71" ht="14.25" customHeight="1" thickBot="1">
      <c r="C71" s="590">
        <f>+'SITUACION COMERCIAL'!AB73</f>
        <v/>
      </c>
      <c r="D71" s="577" t="n"/>
      <c r="E71" s="578" t="n"/>
      <c r="G71" s="34">
        <f>+G70+1</f>
        <v/>
      </c>
      <c r="H71" s="81" t="n">
        <v>3</v>
      </c>
      <c r="I71" s="191" t="n">
        <v>2</v>
      </c>
      <c r="J71" s="82" t="inlineStr">
        <is>
          <t>D</t>
        </is>
      </c>
      <c r="K71" s="191" t="n">
        <v>3</v>
      </c>
      <c r="L71" s="191" t="n">
        <v>31</v>
      </c>
      <c r="M71" s="261" t="n">
        <v>6</v>
      </c>
      <c r="N71" s="191" t="inlineStr">
        <is>
          <t>.</t>
        </is>
      </c>
      <c r="O71" s="191" t="inlineStr">
        <is>
          <t>.</t>
        </is>
      </c>
      <c r="P71" s="56">
        <f>+'SITUACION COMERCIAL'!S73</f>
        <v/>
      </c>
      <c r="Q71" s="57">
        <f>+MEJORAS!G70</f>
        <v/>
      </c>
      <c r="R71" s="57" t="n"/>
      <c r="S71" s="57">
        <f>+P71+Q71+R71</f>
        <v/>
      </c>
    </row>
    <row r="72" ht="14.25" customHeight="1">
      <c r="C72" s="590">
        <f>+'SITUACION COMERCIAL'!AB74</f>
        <v/>
      </c>
      <c r="D72" s="577" t="n"/>
      <c r="E72" s="578" t="n"/>
      <c r="G72" s="34">
        <f>+G71+1</f>
        <v/>
      </c>
      <c r="H72" s="59" t="n">
        <v>3</v>
      </c>
      <c r="I72" s="194" t="n">
        <v>3</v>
      </c>
      <c r="J72" s="60" t="inlineStr">
        <is>
          <t>A</t>
        </is>
      </c>
      <c r="K72" s="194" t="n">
        <v>3</v>
      </c>
      <c r="L72" s="194" t="n">
        <v>71</v>
      </c>
      <c r="M72" s="194" t="n">
        <v>66</v>
      </c>
      <c r="N72" s="194" t="n">
        <v>56</v>
      </c>
      <c r="O72" s="194" t="inlineStr">
        <is>
          <t>.</t>
        </is>
      </c>
      <c r="P72" s="197">
        <f>+'SITUACION COMERCIAL'!S74</f>
        <v/>
      </c>
      <c r="Q72" s="66">
        <f>+MEJORAS!G71</f>
        <v/>
      </c>
      <c r="R72" s="66" t="n"/>
      <c r="S72" s="66">
        <f>+P72+Q72+R72</f>
        <v/>
      </c>
    </row>
    <row r="73" ht="14.25" customHeight="1">
      <c r="C73" s="590">
        <f>+'SITUACION COMERCIAL'!AB75</f>
        <v/>
      </c>
      <c r="D73" s="577" t="n"/>
      <c r="E73" s="578" t="n"/>
      <c r="G73" s="34">
        <f>+G72+1</f>
        <v/>
      </c>
      <c r="H73" s="35" t="n">
        <v>3</v>
      </c>
      <c r="I73" s="186" t="n">
        <v>3</v>
      </c>
      <c r="J73" s="100" t="inlineStr">
        <is>
          <t>B</t>
        </is>
      </c>
      <c r="K73" s="186" t="n">
        <v>4</v>
      </c>
      <c r="L73" s="186" t="n">
        <v>70</v>
      </c>
      <c r="M73" s="186" t="n">
        <v>65</v>
      </c>
      <c r="N73" s="186" t="inlineStr">
        <is>
          <t>.</t>
        </is>
      </c>
      <c r="O73" s="186" t="inlineStr">
        <is>
          <t>.</t>
        </is>
      </c>
      <c r="P73" s="188">
        <f>+'SITUACION COMERCIAL'!S75</f>
        <v/>
      </c>
      <c r="Q73" s="40">
        <f>+MEJORAS!G72</f>
        <v/>
      </c>
      <c r="R73" s="40" t="n">
        <v>4300</v>
      </c>
      <c r="S73" s="40">
        <f>+P73+Q73+R73</f>
        <v/>
      </c>
    </row>
    <row r="74" ht="14.25" customHeight="1">
      <c r="C74" s="590">
        <f>+'SITUACION COMERCIAL'!AB76</f>
        <v/>
      </c>
      <c r="D74" s="577" t="n"/>
      <c r="E74" s="578" t="n"/>
      <c r="G74" s="34">
        <f>+G73+1</f>
        <v/>
      </c>
      <c r="H74" s="35" t="n">
        <v>3</v>
      </c>
      <c r="I74" s="186" t="n">
        <v>3</v>
      </c>
      <c r="J74" s="100" t="inlineStr">
        <is>
          <t>C</t>
        </is>
      </c>
      <c r="K74" s="186" t="n">
        <v>4</v>
      </c>
      <c r="L74" s="186" t="n">
        <v>69</v>
      </c>
      <c r="M74" s="186" t="n">
        <v>64</v>
      </c>
      <c r="N74" s="186" t="inlineStr">
        <is>
          <t>.</t>
        </is>
      </c>
      <c r="O74" s="186" t="inlineStr">
        <is>
          <t>.</t>
        </is>
      </c>
      <c r="P74" s="188">
        <f>+'SITUACION COMERCIAL'!S76</f>
        <v/>
      </c>
      <c r="Q74" s="40">
        <f>+MEJORAS!G73</f>
        <v/>
      </c>
      <c r="R74" s="40" t="n"/>
      <c r="S74" s="40">
        <f>+P74+Q74+R74</f>
        <v/>
      </c>
    </row>
    <row r="75" ht="15.75" customHeight="1" thickBot="1">
      <c r="C75" s="590">
        <f>+'SITUACION COMERCIAL'!AB77</f>
        <v/>
      </c>
      <c r="D75" s="577" t="n"/>
      <c r="E75" s="578" t="n"/>
      <c r="G75" s="200">
        <f>+G74+1</f>
        <v/>
      </c>
      <c r="H75" s="201" t="n">
        <v>3</v>
      </c>
      <c r="I75" s="202" t="n">
        <v>3</v>
      </c>
      <c r="J75" s="203" t="inlineStr">
        <is>
          <t>D</t>
        </is>
      </c>
      <c r="K75" s="202" t="n">
        <v>3</v>
      </c>
      <c r="L75" s="202" t="n">
        <v>68</v>
      </c>
      <c r="M75" s="202" t="n">
        <v>63</v>
      </c>
      <c r="N75" s="202" t="inlineStr">
        <is>
          <t>.</t>
        </is>
      </c>
      <c r="O75" s="202" t="inlineStr">
        <is>
          <t>.</t>
        </is>
      </c>
      <c r="P75" s="205">
        <f>+'SITUACION COMERCIAL'!S77</f>
        <v/>
      </c>
      <c r="Q75" s="118">
        <f>+MEJORAS!G74</f>
        <v/>
      </c>
      <c r="R75" s="118" t="n"/>
      <c r="S75" s="118">
        <f>+P75+Q75+R75</f>
        <v/>
      </c>
    </row>
    <row r="76">
      <c r="P76" s="2">
        <f>SUM(P10:P75)</f>
        <v/>
      </c>
      <c r="Q76" s="2">
        <f>SUM(Q10:Q75)</f>
        <v/>
      </c>
      <c r="R76" s="2">
        <f>SUM(R10:R75)</f>
        <v/>
      </c>
      <c r="S76" s="286">
        <f>SUM(S10:S75)</f>
        <v/>
      </c>
    </row>
    <row r="77" ht="14.25" customHeight="1">
      <c r="Q77" s="286" t="n"/>
      <c r="R77" s="286" t="n"/>
    </row>
  </sheetData>
  <mergeCells count="77">
    <mergeCell ref="C44:E44"/>
    <mergeCell ref="C31:E31"/>
    <mergeCell ref="C40:E40"/>
    <mergeCell ref="C21:E21"/>
    <mergeCell ref="C51:E51"/>
    <mergeCell ref="C60:E60"/>
    <mergeCell ref="C71:E71"/>
    <mergeCell ref="C23:E23"/>
    <mergeCell ref="P7:P8"/>
    <mergeCell ref="C57:E57"/>
    <mergeCell ref="C18:E18"/>
    <mergeCell ref="C49:E49"/>
    <mergeCell ref="P6:S6"/>
    <mergeCell ref="C34:E34"/>
    <mergeCell ref="C42:E42"/>
    <mergeCell ref="C74:E74"/>
    <mergeCell ref="C20:E20"/>
    <mergeCell ref="C25:E25"/>
    <mergeCell ref="C75:E75"/>
    <mergeCell ref="C22:E22"/>
    <mergeCell ref="G7:G8"/>
    <mergeCell ref="C59:E59"/>
    <mergeCell ref="C12:E12"/>
    <mergeCell ref="S7:S8"/>
    <mergeCell ref="C46:E46"/>
    <mergeCell ref="C52:E52"/>
    <mergeCell ref="C61:E61"/>
    <mergeCell ref="C39:E39"/>
    <mergeCell ref="C70:E70"/>
    <mergeCell ref="C48:E48"/>
    <mergeCell ref="C32:E32"/>
    <mergeCell ref="C38:E38"/>
    <mergeCell ref="C13:E13"/>
    <mergeCell ref="C15:E15"/>
    <mergeCell ref="C24:E24"/>
    <mergeCell ref="C33:E33"/>
    <mergeCell ref="C73:E73"/>
    <mergeCell ref="C26:E26"/>
    <mergeCell ref="C35:E35"/>
    <mergeCell ref="C63:E63"/>
    <mergeCell ref="C10:E10"/>
    <mergeCell ref="C16:E16"/>
    <mergeCell ref="C50:E50"/>
    <mergeCell ref="C55:E55"/>
    <mergeCell ref="R7:R8"/>
    <mergeCell ref="C36:E36"/>
    <mergeCell ref="C11:E11"/>
    <mergeCell ref="L7:O7"/>
    <mergeCell ref="C67:E67"/>
    <mergeCell ref="C72:E72"/>
    <mergeCell ref="C28:E28"/>
    <mergeCell ref="C37:E37"/>
    <mergeCell ref="C69:E69"/>
    <mergeCell ref="C30:E30"/>
    <mergeCell ref="Q7:Q8"/>
    <mergeCell ref="C62:E62"/>
    <mergeCell ref="C14:E14"/>
    <mergeCell ref="C64:E64"/>
    <mergeCell ref="C1:S4"/>
    <mergeCell ref="C54:E54"/>
    <mergeCell ref="C41:E41"/>
    <mergeCell ref="G6:O6"/>
    <mergeCell ref="C56:E56"/>
    <mergeCell ref="C43:E43"/>
    <mergeCell ref="C27:E27"/>
    <mergeCell ref="C17:E17"/>
    <mergeCell ref="C66:E66"/>
    <mergeCell ref="C19:E19"/>
    <mergeCell ref="C53:E53"/>
    <mergeCell ref="C68:E68"/>
    <mergeCell ref="C58:E58"/>
    <mergeCell ref="C6:E8"/>
    <mergeCell ref="C45:E45"/>
    <mergeCell ref="H7:K7"/>
    <mergeCell ref="C29:E29"/>
    <mergeCell ref="C65:E65"/>
    <mergeCell ref="C47:E47"/>
  </mergeCells>
  <conditionalFormatting sqref="L10:L11 L13:L18 L20:L23 L25:L31 L33:L75">
    <cfRule type="duplicateValues" priority="92" dxfId="13"/>
  </conditionalFormatting>
  <conditionalFormatting sqref="L10:L11 L13:L18 L20:L23 L25:L31 L33:L49 L51:L75">
    <cfRule type="duplicateValues" priority="97" dxfId="1"/>
  </conditionalFormatting>
  <conditionalFormatting sqref="L32">
    <cfRule type="duplicateValues" priority="6" dxfId="13"/>
    <cfRule type="duplicateValues" priority="7" dxfId="1"/>
  </conditionalFormatting>
  <conditionalFormatting sqref="L50">
    <cfRule type="duplicateValues" priority="9" dxfId="1"/>
  </conditionalFormatting>
  <conditionalFormatting sqref="M5:M18 M20:M23 M25:M1048576">
    <cfRule type="duplicateValues" priority="2" dxfId="1"/>
  </conditionalFormatting>
  <conditionalFormatting sqref="M19">
    <cfRule type="duplicateValues" priority="1" dxfId="6"/>
  </conditionalFormatting>
  <conditionalFormatting sqref="M5:M9 M76:M1048576">
    <cfRule type="duplicateValues" priority="108" dxfId="1"/>
  </conditionalFormatting>
  <conditionalFormatting sqref="L5:L11 L13:L18 L20:L23 L25:L1048576 N5:N11 N13:N1048576">
    <cfRule type="duplicateValues" priority="4" dxfId="6"/>
  </conditionalFormatting>
  <conditionalFormatting sqref="N12">
    <cfRule type="duplicateValues" priority="3" dxfId="6"/>
  </conditionalFormatting>
  <conditionalFormatting sqref="L5:L11 L13:L18 L20:L23 L25:L1048576 N5:N9 N76:N1048576">
    <cfRule type="duplicateValues" priority="123" dxfId="5"/>
  </conditionalFormatting>
  <conditionalFormatting sqref="O12">
    <cfRule type="duplicateValues" priority="12" dxfId="1"/>
  </conditionalFormatting>
  <conditionalFormatting sqref="O32">
    <cfRule type="duplicateValues" priority="15" dxfId="1"/>
  </conditionalFormatting>
  <conditionalFormatting sqref="O50">
    <cfRule type="duplicateValues" priority="13" dxfId="1"/>
  </conditionalFormatting>
  <conditionalFormatting sqref="O10:O11 O13:O31 O33:O49 O51:O75">
    <cfRule type="duplicateValues" priority="133" dxfId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pane xSplit="4" ySplit="4" topLeftCell="M5" activePane="bottomRight" state="frozen"/>
      <selection pane="topRight" activeCell="E1" sqref="E1"/>
      <selection pane="bottomLeft" activeCell="A5" sqref="A5"/>
      <selection pane="bottomRight" activeCell="Q14" sqref="Q14"/>
    </sheetView>
  </sheetViews>
  <sheetFormatPr baseColWidth="10" defaultRowHeight="15"/>
  <cols>
    <col width="76.7109375" customWidth="1" min="5" max="5"/>
    <col width="11.5703125" customWidth="1" style="1" min="10" max="10"/>
    <col width="15" customWidth="1" min="12" max="12"/>
    <col width="16.7109375" customWidth="1" min="13" max="13"/>
    <col width="11.5703125" customWidth="1" min="14" max="14"/>
    <col width="16.7109375" customWidth="1" min="15" max="15"/>
    <col width="19.28515625" customWidth="1" min="16" max="16"/>
    <col width="18.140625" customWidth="1" min="23" max="23"/>
  </cols>
  <sheetData>
    <row r="1">
      <c r="E1" s="445" t="n"/>
      <c r="F1" s="2">
        <f>+F5+F13+F35+F36+F38+F56</f>
        <v/>
      </c>
      <c r="G1">
        <f>+F1*0.25</f>
        <v/>
      </c>
      <c r="I1" s="591" t="n"/>
      <c r="J1" s="480" t="n"/>
      <c r="M1" s="5" t="n"/>
      <c r="N1" s="447" t="n"/>
      <c r="O1" s="447" t="n"/>
      <c r="P1" s="447" t="n"/>
      <c r="Q1" s="447" t="n"/>
      <c r="R1" s="447" t="n"/>
      <c r="S1" s="447" t="n"/>
      <c r="T1" s="447" t="n"/>
      <c r="U1" s="447" t="n"/>
      <c r="V1" s="5" t="n"/>
      <c r="W1" s="5" t="n"/>
      <c r="X1" s="5" t="n"/>
      <c r="Y1" s="4" t="n"/>
    </row>
    <row r="2">
      <c r="E2" s="445" t="n"/>
      <c r="I2" s="591" t="n"/>
      <c r="J2" s="480" t="n"/>
      <c r="M2" s="5" t="n"/>
      <c r="N2" s="447" t="n"/>
      <c r="O2" s="447" t="n"/>
      <c r="P2" s="447" t="n"/>
      <c r="Q2" s="447" t="n"/>
      <c r="R2" s="447" t="n"/>
      <c r="S2" s="447" t="n"/>
      <c r="T2" s="447" t="n"/>
      <c r="U2" s="447" t="n"/>
      <c r="V2" s="5" t="n"/>
      <c r="W2" s="5" t="n"/>
      <c r="X2" s="5" t="n"/>
      <c r="Y2" s="4" t="n"/>
    </row>
    <row r="3">
      <c r="E3" s="549" t="inlineStr">
        <is>
          <t>TITULAR ACTUAL</t>
        </is>
      </c>
      <c r="F3" s="498" t="inlineStr">
        <is>
          <t>Precio base con actualizacion</t>
        </is>
      </c>
      <c r="G3" s="541" t="inlineStr">
        <is>
          <t>Origen</t>
        </is>
      </c>
      <c r="H3" s="541" t="inlineStr">
        <is>
          <t>Honorarios totales</t>
        </is>
      </c>
      <c r="I3" s="578" t="n"/>
      <c r="J3" s="481" t="n"/>
      <c r="K3" s="501" t="inlineStr">
        <is>
          <t>Liquidacion 1</t>
        </is>
      </c>
      <c r="L3" s="501" t="inlineStr">
        <is>
          <t>liquidación 2</t>
        </is>
      </c>
      <c r="M3" s="501" t="inlineStr">
        <is>
          <t>liq. 31/05/2024</t>
        </is>
      </c>
      <c r="N3" s="448" t="inlineStr">
        <is>
          <t>liquidación agosto</t>
        </is>
      </c>
      <c r="O3" s="448" t="inlineStr">
        <is>
          <t>Liquidacion 2/09/24</t>
        </is>
      </c>
      <c r="P3" s="448" t="inlineStr">
        <is>
          <t>lLiquidación 10/2024</t>
        </is>
      </c>
      <c r="Q3" s="487" t="n">
        <v>45890</v>
      </c>
      <c r="R3" s="488" t="n">
        <v>45930</v>
      </c>
      <c r="S3" s="488" t="n">
        <v>46010</v>
      </c>
      <c r="T3" s="448" t="n"/>
      <c r="U3" s="448" t="inlineStr">
        <is>
          <t>FACTURADO</t>
        </is>
      </c>
      <c r="V3" s="592" t="inlineStr">
        <is>
          <t>pte FACTURAR</t>
        </is>
      </c>
      <c r="W3" s="592" t="inlineStr">
        <is>
          <t>PTE A ENTREGA</t>
        </is>
      </c>
      <c r="X3" s="5" t="n"/>
      <c r="Y3" s="4" t="n"/>
    </row>
    <row r="4" ht="45.75" customHeight="1" thickBot="1">
      <c r="E4" s="584" t="n"/>
      <c r="F4" s="584" t="n"/>
      <c r="G4" s="584" t="n"/>
      <c r="H4" s="449" t="inlineStr">
        <is>
          <t>Importe</t>
        </is>
      </c>
      <c r="I4" s="593" t="inlineStr">
        <is>
          <t>%</t>
        </is>
      </c>
      <c r="J4" s="482" t="inlineStr">
        <is>
          <t>devengados</t>
        </is>
      </c>
      <c r="K4" s="541" t="inlineStr">
        <is>
          <t>25% h. totales</t>
        </is>
      </c>
      <c r="L4" s="497" t="inlineStr">
        <is>
          <t>50% h. totales-liquidación1</t>
        </is>
      </c>
      <c r="M4" s="497" t="inlineStr">
        <is>
          <t>50% honorarios totales</t>
        </is>
      </c>
      <c r="N4" s="497" t="inlineStr">
        <is>
          <t>50% honorarios totales</t>
        </is>
      </c>
      <c r="O4" s="497" t="inlineStr">
        <is>
          <t>50% honorarios totales</t>
        </is>
      </c>
      <c r="P4" s="497" t="inlineStr">
        <is>
          <t>50% honorarios totales</t>
        </is>
      </c>
      <c r="Q4" s="497" t="inlineStr">
        <is>
          <t>50% honorarios totales</t>
        </is>
      </c>
      <c r="R4" s="497" t="inlineStr">
        <is>
          <t>50% honorarios totales</t>
        </is>
      </c>
      <c r="S4" s="497" t="inlineStr">
        <is>
          <t>50% honorarios totales</t>
        </is>
      </c>
      <c r="T4" s="497" t="n"/>
      <c r="U4" s="584" t="n"/>
      <c r="V4" s="584" t="n"/>
      <c r="W4" s="584" t="n"/>
      <c r="X4" s="406" t="n"/>
      <c r="Y4" s="451" t="n"/>
    </row>
    <row r="5" ht="18" customHeight="1">
      <c r="A5" s="238" t="n">
        <v>1</v>
      </c>
      <c r="B5" s="17" t="n">
        <v>1</v>
      </c>
      <c r="C5" s="18" t="inlineStr">
        <is>
          <t>BAJA</t>
        </is>
      </c>
      <c r="D5" s="18" t="inlineStr">
        <is>
          <t>A</t>
        </is>
      </c>
      <c r="E5" s="452">
        <f>+'SITUACION COMERCIAL'!AB12</f>
        <v/>
      </c>
      <c r="F5" s="453">
        <f>IF('SITUACION COMERCIAL'!A12="RESERVADO",'SITUACION COMERCIAL'!S12,0)</f>
        <v/>
      </c>
      <c r="G5" s="454" t="inlineStr">
        <is>
          <t>HABITAT</t>
        </is>
      </c>
      <c r="H5" s="454">
        <f>IF(G5="HABITAT",F5*0.025,F5*0.02)</f>
        <v/>
      </c>
      <c r="I5" s="594">
        <f>+H5/F5</f>
        <v/>
      </c>
      <c r="J5" s="483">
        <f>IF('SITUACION COMERCIAL'!A12="RESERVADO",H5/2,0)</f>
        <v/>
      </c>
      <c r="K5" s="456" t="n">
        <v>0</v>
      </c>
      <c r="L5" s="457" t="n">
        <v>3875</v>
      </c>
      <c r="M5" s="265" t="n"/>
      <c r="N5" s="458" t="n"/>
      <c r="O5" s="458" t="n"/>
      <c r="P5" s="458" t="n"/>
      <c r="Q5" s="458" t="n">
        <v>-3875</v>
      </c>
      <c r="R5" s="458" t="n"/>
      <c r="S5" s="458" t="n"/>
      <c r="T5" s="458" t="n"/>
      <c r="U5" s="458">
        <f>SUM(K5:T5)</f>
        <v/>
      </c>
      <c r="V5" s="265">
        <f>+J5-K5-L5-M5-N5-O5-P5-T5-Q5-R5-S5</f>
        <v/>
      </c>
      <c r="W5" s="477">
        <f>+H5-U5</f>
        <v/>
      </c>
      <c r="X5" s="459" t="inlineStr">
        <is>
          <t>AARON ALEJANDRO VALVERDE VILLALON</t>
        </is>
      </c>
      <c r="Y5" s="460" t="n"/>
    </row>
    <row r="6" ht="18" customHeight="1">
      <c r="A6" s="239">
        <f>+A5+1</f>
        <v/>
      </c>
      <c r="B6" s="35" t="n">
        <v>1</v>
      </c>
      <c r="C6" s="36" t="inlineStr">
        <is>
          <t>BAJA</t>
        </is>
      </c>
      <c r="D6" s="36" t="inlineStr">
        <is>
          <t>B</t>
        </is>
      </c>
      <c r="E6" s="452">
        <f>+'SITUACION COMERCIAL'!AB13</f>
        <v/>
      </c>
      <c r="F6" s="453">
        <f>IF('SITUACION COMERCIAL'!A13="RESERVADO",'SITUACION COMERCIAL'!S13,0)</f>
        <v/>
      </c>
      <c r="G6" s="456" t="inlineStr">
        <is>
          <t>HABITAT</t>
        </is>
      </c>
      <c r="H6" s="456">
        <f>IF(G6="HABITAT",F6*0.025,F6*0.02)</f>
        <v/>
      </c>
      <c r="I6" s="595">
        <f>+H6/F6</f>
        <v/>
      </c>
      <c r="J6" s="483">
        <f>IF('SITUACION COMERCIAL'!A13="RESERVADO",H6/2,0)</f>
        <v/>
      </c>
      <c r="K6" s="456" t="n">
        <v>1468.125</v>
      </c>
      <c r="L6" s="457" t="n">
        <v>1468.125</v>
      </c>
      <c r="M6" s="265" t="n"/>
      <c r="N6" s="458" t="n"/>
      <c r="O6" s="458" t="n"/>
      <c r="P6" s="458" t="n"/>
      <c r="Q6" s="458" t="n"/>
      <c r="R6" s="458" t="n"/>
      <c r="S6" s="458" t="n"/>
      <c r="T6" s="458" t="n"/>
      <c r="U6" s="458">
        <f>SUM(K6:T6)</f>
        <v/>
      </c>
      <c r="V6" s="265">
        <f>+J6-K6-L6-M6-N6-O6-P6-T6-Q6-R6-S6</f>
        <v/>
      </c>
      <c r="W6" s="477">
        <f>+H6-U6</f>
        <v/>
      </c>
      <c r="X6" s="459" t="inlineStr">
        <is>
          <t>MANUEL PEÑA GRAGERA</t>
        </is>
      </c>
      <c r="Y6" s="460" t="n"/>
    </row>
    <row r="7" ht="18" customHeight="1">
      <c r="A7" s="239" t="n">
        <v>3</v>
      </c>
      <c r="B7" s="35" t="n">
        <v>1</v>
      </c>
      <c r="C7" s="36" t="inlineStr">
        <is>
          <t>BAJA</t>
        </is>
      </c>
      <c r="D7" s="36" t="inlineStr">
        <is>
          <t>C</t>
        </is>
      </c>
      <c r="E7" s="452">
        <f>+'SITUACION COMERCIAL'!AB14</f>
        <v/>
      </c>
      <c r="F7" s="453">
        <f>IF('SITUACION COMERCIAL'!A14="RESERVADO",'SITUACION COMERCIAL'!S14,0)</f>
        <v/>
      </c>
      <c r="G7" s="456" t="inlineStr">
        <is>
          <t>HABITAT</t>
        </is>
      </c>
      <c r="H7" s="456">
        <f>IF(G7="HABITAT",F7*0.025,F7*0.02)</f>
        <v/>
      </c>
      <c r="I7" s="595">
        <f>+H7/F7</f>
        <v/>
      </c>
      <c r="J7" s="483">
        <f>IF('SITUACION COMERCIAL'!A14="RESERVADO",H7/2,0)</f>
        <v/>
      </c>
      <c r="K7" s="456" t="n"/>
      <c r="L7" s="457" t="n">
        <v>0</v>
      </c>
      <c r="M7" s="265" t="n"/>
      <c r="N7" s="458" t="n"/>
      <c r="O7" s="458" t="n">
        <v>1912.5</v>
      </c>
      <c r="P7" s="458" t="n"/>
      <c r="Q7" s="458" t="n"/>
      <c r="R7" s="458" t="n"/>
      <c r="S7" s="458" t="n"/>
      <c r="T7" s="458" t="n"/>
      <c r="U7" s="458">
        <f>SUM(K7:T7)</f>
        <v/>
      </c>
      <c r="V7" s="265">
        <f>+J7-K7-L7-M7-N7-O7-P7-T7-Q7-R7-S7</f>
        <v/>
      </c>
      <c r="W7" s="477">
        <f>+H7-U7</f>
        <v/>
      </c>
      <c r="X7" s="459" t="n"/>
      <c r="Y7" s="460" t="n"/>
    </row>
    <row r="8" ht="18" customHeight="1">
      <c r="A8" s="239">
        <f>+A7+1</f>
        <v/>
      </c>
      <c r="B8" s="35" t="n">
        <v>1</v>
      </c>
      <c r="C8" s="36" t="inlineStr">
        <is>
          <t xml:space="preserve">BAJA </t>
        </is>
      </c>
      <c r="D8" s="36" t="inlineStr">
        <is>
          <t>D</t>
        </is>
      </c>
      <c r="E8" s="452">
        <f>+'SITUACION COMERCIAL'!AB15</f>
        <v/>
      </c>
      <c r="F8" s="453">
        <f>IF('SITUACION COMERCIAL'!A15="RESERVADO",'SITUACION COMERCIAL'!S15,0)</f>
        <v/>
      </c>
      <c r="G8" s="456" t="inlineStr">
        <is>
          <t>HABITAT</t>
        </is>
      </c>
      <c r="H8" s="456">
        <f>IF(G8="HABITAT",F8*0.025,F8*0.02)</f>
        <v/>
      </c>
      <c r="I8" s="595">
        <f>+H8/F8</f>
        <v/>
      </c>
      <c r="J8" s="483">
        <f>IF('SITUACION COMERCIAL'!A15="RESERVADO",H8/2,0)</f>
        <v/>
      </c>
      <c r="K8" s="456" t="n">
        <v>0</v>
      </c>
      <c r="L8" s="457" t="n">
        <v>2225</v>
      </c>
      <c r="M8" s="265" t="n"/>
      <c r="N8" s="458" t="n"/>
      <c r="O8" s="458" t="n"/>
      <c r="P8" s="458" t="n"/>
      <c r="Q8" s="458" t="n"/>
      <c r="R8" s="458" t="n"/>
      <c r="S8" s="458" t="n"/>
      <c r="T8" s="458" t="n"/>
      <c r="U8" s="458">
        <f>SUM(K8:T8)</f>
        <v/>
      </c>
      <c r="V8" s="265">
        <f>+J8-K8-L8-M8-N8-O8-P8-T8-Q8-R8-S8</f>
        <v/>
      </c>
      <c r="W8" s="477">
        <f>+H8-U8</f>
        <v/>
      </c>
      <c r="X8" s="459" t="inlineStr">
        <is>
          <t>ISIDORA ROMERO MARTIN</t>
        </is>
      </c>
      <c r="Y8" s="460" t="n"/>
    </row>
    <row r="9" ht="18" customHeight="1" thickBot="1">
      <c r="A9" s="239">
        <f>+A8+1</f>
        <v/>
      </c>
      <c r="B9" s="35" t="n">
        <v>1</v>
      </c>
      <c r="C9" s="36" t="inlineStr">
        <is>
          <t>BAJA</t>
        </is>
      </c>
      <c r="D9" s="36" t="inlineStr">
        <is>
          <t>E</t>
        </is>
      </c>
      <c r="E9" s="452">
        <f>+'SITUACION COMERCIAL'!AB16</f>
        <v/>
      </c>
      <c r="F9" s="453">
        <f>IF('SITUACION COMERCIAL'!A16="RESERVADO",'SITUACION COMERCIAL'!S16,0)</f>
        <v/>
      </c>
      <c r="G9" s="456" t="inlineStr">
        <is>
          <t>HABITAT</t>
        </is>
      </c>
      <c r="H9" s="456">
        <f>IF(G9="HABITAT",F9*0.025,F9*0.02)</f>
        <v/>
      </c>
      <c r="I9" s="595">
        <f>+H9/F9</f>
        <v/>
      </c>
      <c r="J9" s="483">
        <f>IF('SITUACION COMERCIAL'!A16="RESERVADO",H9/2,0)</f>
        <v/>
      </c>
      <c r="K9" s="456" t="n"/>
      <c r="L9" s="457" t="n"/>
      <c r="M9" s="265" t="n"/>
      <c r="N9" s="458" t="n"/>
      <c r="O9" s="458" t="n"/>
      <c r="P9" s="458" t="n"/>
      <c r="Q9" s="458" t="n">
        <v>2687.5</v>
      </c>
      <c r="R9" s="458" t="n"/>
      <c r="S9" s="458" t="n"/>
      <c r="T9" s="458" t="n"/>
      <c r="U9" s="458">
        <f>SUM(K9:T9)</f>
        <v/>
      </c>
      <c r="V9" s="265">
        <f>+J9-K9-L9-M9-N9-O9-P9-T9-Q9-R9-S9</f>
        <v/>
      </c>
      <c r="W9" s="477">
        <f>+H9-U9</f>
        <v/>
      </c>
      <c r="X9" s="459" t="n"/>
      <c r="Y9" s="460" t="n"/>
    </row>
    <row r="10" ht="18" customHeight="1">
      <c r="A10" s="240">
        <f>+A9+1</f>
        <v/>
      </c>
      <c r="B10" s="59" t="n">
        <v>1</v>
      </c>
      <c r="C10" s="60" t="n">
        <v>1</v>
      </c>
      <c r="D10" s="60" t="inlineStr">
        <is>
          <t>A</t>
        </is>
      </c>
      <c r="E10" s="452">
        <f>+'SITUACION COMERCIAL'!AB17</f>
        <v/>
      </c>
      <c r="F10" s="453">
        <f>IF('SITUACION COMERCIAL'!A17="RESERVADO",'SITUACION COMERCIAL'!S17,0)</f>
        <v/>
      </c>
      <c r="G10" s="456" t="inlineStr">
        <is>
          <t>HABITAT</t>
        </is>
      </c>
      <c r="H10" s="456">
        <f>IF(G10="HABITAT",F10*0.025,F10*0.02)</f>
        <v/>
      </c>
      <c r="I10" s="595">
        <f>+H10/F10</f>
        <v/>
      </c>
      <c r="J10" s="483">
        <f>IF('SITUACION COMERCIAL'!A17="RESERVADO",H10/2,0)</f>
        <v/>
      </c>
      <c r="K10" s="456" t="n">
        <v>0</v>
      </c>
      <c r="L10" s="457" t="n">
        <v>3792.5</v>
      </c>
      <c r="M10" s="265" t="n"/>
      <c r="N10" s="458" t="n"/>
      <c r="O10" s="458" t="n"/>
      <c r="P10" s="458" t="n"/>
      <c r="Q10" s="458" t="n"/>
      <c r="R10" s="458" t="n"/>
      <c r="S10" s="458" t="n"/>
      <c r="T10" s="458" t="n"/>
      <c r="U10" s="458">
        <f>SUM(K10:T10)</f>
        <v/>
      </c>
      <c r="V10" s="265">
        <f>+J10-K10-L10-M10-N10-O10-P10-T10-Q10-R10-S10</f>
        <v/>
      </c>
      <c r="W10" s="477">
        <f>+H10-U10</f>
        <v/>
      </c>
      <c r="X10" s="459" t="inlineStr">
        <is>
          <t>JOSE MARIA PRUDENCIO ALONSO</t>
        </is>
      </c>
      <c r="Y10" s="460" t="n"/>
    </row>
    <row r="11" ht="18" customHeight="1">
      <c r="A11" s="239">
        <f>+A10+1</f>
        <v/>
      </c>
      <c r="B11" s="35" t="n">
        <v>1</v>
      </c>
      <c r="C11" s="36" t="n">
        <v>1</v>
      </c>
      <c r="D11" s="36" t="inlineStr">
        <is>
          <t>B</t>
        </is>
      </c>
      <c r="E11" s="452">
        <f>+'SITUACION COMERCIAL'!AB18</f>
        <v/>
      </c>
      <c r="F11" s="453">
        <f>IF('SITUACION COMERCIAL'!A18="RESERVADO",'SITUACION COMERCIAL'!S18,0)</f>
        <v/>
      </c>
      <c r="G11" s="456" t="inlineStr">
        <is>
          <t>HABITAT</t>
        </is>
      </c>
      <c r="H11" s="462">
        <f>IF(G11="HABITAT",F11*0.025,F11*0.02)</f>
        <v/>
      </c>
      <c r="I11" s="595">
        <f>+H11/F11</f>
        <v/>
      </c>
      <c r="J11" s="483">
        <f>IF('SITUACION COMERCIAL'!A18="RESERVADO",H11/2,0)</f>
        <v/>
      </c>
      <c r="K11" s="456" t="n"/>
      <c r="L11" s="457" t="n"/>
      <c r="M11" s="265" t="n"/>
      <c r="N11" s="458" t="n"/>
      <c r="O11" s="458" t="n"/>
      <c r="P11" s="458" t="n"/>
      <c r="Q11" s="458" t="n"/>
      <c r="R11" s="458" t="n">
        <v>3275</v>
      </c>
      <c r="S11" s="458" t="n"/>
      <c r="T11" s="458" t="n"/>
      <c r="U11" s="458">
        <f>SUM(K11:T11)</f>
        <v/>
      </c>
      <c r="V11" s="265">
        <f>+J11-K11-L11-M11-N11-O11-P11-T11-Q11-R11-S11</f>
        <v/>
      </c>
      <c r="W11" s="477">
        <f>+H11-U11</f>
        <v/>
      </c>
      <c r="X11" s="459" t="n"/>
      <c r="Y11" s="460" t="n"/>
    </row>
    <row r="12" ht="18" customHeight="1">
      <c r="A12" s="239">
        <f>+A11+1</f>
        <v/>
      </c>
      <c r="B12" s="35" t="n">
        <v>1</v>
      </c>
      <c r="C12" s="36" t="n">
        <v>1</v>
      </c>
      <c r="D12" s="36" t="inlineStr">
        <is>
          <t>C</t>
        </is>
      </c>
      <c r="E12" s="452">
        <f>+'SITUACION COMERCIAL'!AB19</f>
        <v/>
      </c>
      <c r="F12" s="453">
        <f>IF('SITUACION COMERCIAL'!A19="RESERVADO",'SITUACION COMERCIAL'!S19,0)</f>
        <v/>
      </c>
      <c r="G12" s="463" t="inlineStr">
        <is>
          <t>HABITAT</t>
        </is>
      </c>
      <c r="H12" s="456">
        <f>IF(G12="HABITAT",F12*0.025,F12*0.02)</f>
        <v/>
      </c>
      <c r="I12" s="595">
        <f>+H12/F12</f>
        <v/>
      </c>
      <c r="J12" s="483">
        <f>IF('SITUACION COMERCIAL'!A19="RESERVADO",H12/2,0)</f>
        <v/>
      </c>
      <c r="K12" s="456" t="n">
        <v>1105</v>
      </c>
      <c r="L12" s="457" t="n">
        <v>1067.725</v>
      </c>
      <c r="M12" s="265" t="n"/>
      <c r="N12" s="458" t="n"/>
      <c r="O12" s="458" t="n"/>
      <c r="P12" s="458" t="n"/>
      <c r="Q12" s="458" t="n"/>
      <c r="R12" s="458" t="n"/>
      <c r="S12" s="458" t="n"/>
      <c r="T12" s="458" t="n"/>
      <c r="U12" s="458">
        <f>SUM(K12:T12)</f>
        <v/>
      </c>
      <c r="V12" s="265">
        <f>+J12-K12-L12-M12-N12-O12-P12-T12-Q12-R12-S12</f>
        <v/>
      </c>
      <c r="W12" s="477">
        <f>+H12-U12</f>
        <v/>
      </c>
      <c r="X12" s="459" t="inlineStr">
        <is>
          <t>AMALIA CABANILLAS BAENA</t>
        </is>
      </c>
      <c r="Y12" s="460" t="n"/>
    </row>
    <row r="13" ht="18" customHeight="1">
      <c r="A13" s="239">
        <f>+A12+1</f>
        <v/>
      </c>
      <c r="B13" s="35" t="n">
        <v>1</v>
      </c>
      <c r="C13" s="36" t="n">
        <v>1</v>
      </c>
      <c r="D13" s="36" t="inlineStr">
        <is>
          <t>D</t>
        </is>
      </c>
      <c r="E13" s="452">
        <f>+'SITUACION COMERCIAL'!AB20</f>
        <v/>
      </c>
      <c r="F13" s="453">
        <f>IF('SITUACION COMERCIAL'!A20="RESERVADO",'SITUACION COMERCIAL'!S20,0)</f>
        <v/>
      </c>
      <c r="G13" s="456" t="inlineStr">
        <is>
          <t>HABITAT</t>
        </is>
      </c>
      <c r="H13" s="462">
        <f>IF(G13="HABITAT",F13*0.025,F13*0.02)</f>
        <v/>
      </c>
      <c r="I13" s="595">
        <f>+H13/F13</f>
        <v/>
      </c>
      <c r="J13" s="483">
        <f>IF('SITUACION COMERCIAL'!A20="RESERVADO",H13/2,0)</f>
        <v/>
      </c>
      <c r="K13" s="464" t="n"/>
      <c r="L13" s="465" t="n"/>
      <c r="M13" s="466" t="n"/>
      <c r="N13" s="458" t="n"/>
      <c r="O13" s="458" t="n"/>
      <c r="P13" s="458" t="n"/>
      <c r="Q13" s="458" t="n"/>
      <c r="R13" s="458" t="n"/>
      <c r="S13" s="458" t="n">
        <v>2612.5</v>
      </c>
      <c r="T13" s="458" t="n"/>
      <c r="U13" s="458">
        <f>SUM(K13:T13)-K13</f>
        <v/>
      </c>
      <c r="V13" s="265">
        <f>+J13-K13-L13-M13-N13-O13-P13-T13-Q13-R13-S13</f>
        <v/>
      </c>
      <c r="W13" s="477">
        <f>+H13-U13</f>
        <v/>
      </c>
      <c r="X13" s="467" t="n"/>
      <c r="Y13" s="468" t="n"/>
    </row>
    <row r="14" ht="18" customHeight="1">
      <c r="A14" s="239">
        <f>+A13+1</f>
        <v/>
      </c>
      <c r="B14" s="74" t="n">
        <v>1</v>
      </c>
      <c r="C14" s="75" t="n">
        <v>1</v>
      </c>
      <c r="D14" s="75" t="inlineStr">
        <is>
          <t>E</t>
        </is>
      </c>
      <c r="E14" s="452">
        <f>+'SITUACION COMERCIAL'!AB21</f>
        <v/>
      </c>
      <c r="F14" s="453">
        <f>IF('SITUACION COMERCIAL'!A21="RESERVADO",'SITUACION COMERCIAL'!S21,0)</f>
        <v/>
      </c>
      <c r="G14" s="456" t="inlineStr">
        <is>
          <t>HABITAT</t>
        </is>
      </c>
      <c r="H14" s="456">
        <f>IF(G14="HABITAT",F14*0.025,F14*0.02)</f>
        <v/>
      </c>
      <c r="I14" s="595">
        <f>+H14/F14</f>
        <v/>
      </c>
      <c r="J14" s="483">
        <f>IF('SITUACION COMERCIAL'!A21="RESERVADO",H14/2,0)</f>
        <v/>
      </c>
      <c r="K14" s="456" t="n">
        <v>0</v>
      </c>
      <c r="L14" s="457" t="n">
        <v>2225</v>
      </c>
      <c r="M14" s="265" t="n"/>
      <c r="N14" s="458" t="n"/>
      <c r="O14" s="458" t="n"/>
      <c r="P14" s="458" t="n"/>
      <c r="Q14" s="458" t="n"/>
      <c r="R14" s="458" t="n"/>
      <c r="S14" s="458" t="n"/>
      <c r="T14" s="458" t="n"/>
      <c r="U14" s="458">
        <f>SUM(K14:T14)</f>
        <v/>
      </c>
      <c r="V14" s="265">
        <f>+J14-K14-L14-M14-N14-O14-P14-T14-Q14-R14-S14</f>
        <v/>
      </c>
      <c r="W14" s="477">
        <f>+H14-U14</f>
        <v/>
      </c>
      <c r="X14" s="459" t="inlineStr">
        <is>
          <t>VICTOR JOSE ROJAS MORENO</t>
        </is>
      </c>
      <c r="Y14" s="460" t="n"/>
    </row>
    <row r="15" ht="18" customHeight="1" thickBot="1">
      <c r="A15" s="241">
        <f>+A14+1</f>
        <v/>
      </c>
      <c r="B15" s="81" t="n">
        <v>1</v>
      </c>
      <c r="C15" s="82" t="n">
        <v>1</v>
      </c>
      <c r="D15" s="53" t="inlineStr">
        <is>
          <t>F</t>
        </is>
      </c>
      <c r="E15" s="452">
        <f>+'SITUACION COMERCIAL'!AB22</f>
        <v/>
      </c>
      <c r="F15" s="453">
        <f>IF('SITUACION COMERCIAL'!A22="RESERVADO",'SITUACION COMERCIAL'!S22,0)</f>
        <v/>
      </c>
      <c r="G15" s="456" t="inlineStr">
        <is>
          <t>HABITAT</t>
        </is>
      </c>
      <c r="H15" s="456">
        <f>IF(G15="HABITAT",F15*0.025,F15*0.02)</f>
        <v/>
      </c>
      <c r="I15" s="595">
        <f>+H15/F15</f>
        <v/>
      </c>
      <c r="J15" s="483">
        <f>IF('SITUACION COMERCIAL'!A22="RESERVADO",H15/2,0)</f>
        <v/>
      </c>
      <c r="K15" s="456" t="n"/>
      <c r="L15" s="457" t="n"/>
      <c r="M15" s="265" t="n"/>
      <c r="N15" s="458" t="n">
        <v>2312.5</v>
      </c>
      <c r="O15" s="458" t="n"/>
      <c r="P15" s="458" t="n"/>
      <c r="Q15" s="458" t="n"/>
      <c r="R15" s="458" t="n"/>
      <c r="S15" s="458" t="n"/>
      <c r="T15" s="458" t="n"/>
      <c r="U15" s="458">
        <f>SUM(K15:T15)</f>
        <v/>
      </c>
      <c r="V15" s="265">
        <f>+J15-K15-L15-M15-N15-O15-P15-T15-Q15-R15-S15</f>
        <v/>
      </c>
      <c r="W15" s="477">
        <f>+H15-U15</f>
        <v/>
      </c>
      <c r="X15" s="459" t="inlineStr">
        <is>
          <t>JUAN MANUEL DURAN GUERRERO</t>
        </is>
      </c>
      <c r="Y15" s="460" t="n"/>
    </row>
    <row r="16" ht="18" customHeight="1">
      <c r="A16" s="240">
        <f>+A15+1</f>
        <v/>
      </c>
      <c r="B16" s="59" t="n">
        <v>1</v>
      </c>
      <c r="C16" s="60" t="n">
        <v>2</v>
      </c>
      <c r="D16" s="60" t="inlineStr">
        <is>
          <t>A</t>
        </is>
      </c>
      <c r="E16" s="452">
        <f>+'SITUACION COMERCIAL'!AB23</f>
        <v/>
      </c>
      <c r="F16" s="453">
        <f>IF('SITUACION COMERCIAL'!A23="RESERVADO",'SITUACION COMERCIAL'!S23,0)</f>
        <v/>
      </c>
      <c r="G16" s="469" t="inlineStr">
        <is>
          <t>EDETICA</t>
        </is>
      </c>
      <c r="H16" s="456">
        <f>IF(G16="HABITAT",F16*0.025,F16*0.02)</f>
        <v/>
      </c>
      <c r="I16" s="596">
        <f>+H16/F16</f>
        <v/>
      </c>
      <c r="J16" s="483">
        <f>IF('SITUACION COMERCIAL'!A23="RESERVADO",H16/2,0)</f>
        <v/>
      </c>
      <c r="K16" s="456" t="n">
        <v>1399.5</v>
      </c>
      <c r="L16" s="457" t="n">
        <v>1399.5</v>
      </c>
      <c r="M16" s="265" t="n"/>
      <c r="N16" s="458" t="n"/>
      <c r="O16" s="458" t="n"/>
      <c r="P16" s="458" t="n"/>
      <c r="Q16" s="458" t="n"/>
      <c r="R16" s="458" t="n"/>
      <c r="S16" s="458" t="n"/>
      <c r="T16" s="458" t="n"/>
      <c r="U16" s="458">
        <f>SUM(K16:T16)</f>
        <v/>
      </c>
      <c r="V16" s="265">
        <f>+J16-K16-L16-M16-N16-O16-P16-T16-Q16-R16-S16</f>
        <v/>
      </c>
      <c r="W16" s="477">
        <f>+H16-U16</f>
        <v/>
      </c>
      <c r="X16" s="459" t="inlineStr">
        <is>
          <t>IGNACIO AMARO BLANCO</t>
        </is>
      </c>
      <c r="Y16" s="460" t="n"/>
    </row>
    <row r="17" ht="18" customHeight="1">
      <c r="A17" s="239">
        <f>+A16+1</f>
        <v/>
      </c>
      <c r="B17" s="35" t="n">
        <v>1</v>
      </c>
      <c r="C17" s="36" t="n">
        <v>2</v>
      </c>
      <c r="D17" s="36" t="inlineStr">
        <is>
          <t>B</t>
        </is>
      </c>
      <c r="E17" s="452">
        <f>+'SITUACION COMERCIAL'!AB24</f>
        <v/>
      </c>
      <c r="F17" s="453">
        <f>IF('SITUACION COMERCIAL'!A24="RESERVADO",'SITUACION COMERCIAL'!S24,0)</f>
        <v/>
      </c>
      <c r="G17" s="456" t="inlineStr">
        <is>
          <t>HABITAT</t>
        </is>
      </c>
      <c r="H17" s="456">
        <f>IF(G17="HABITAT",F17*0.025,F17*0.02)</f>
        <v/>
      </c>
      <c r="I17" s="595">
        <f>+H17/F17</f>
        <v/>
      </c>
      <c r="J17" s="483">
        <f>IF('SITUACION COMERCIAL'!A24="RESERVADO",H17/2,0)</f>
        <v/>
      </c>
      <c r="K17" s="456" t="n">
        <v>1491.25</v>
      </c>
      <c r="L17" s="457" t="n">
        <v>1491.25</v>
      </c>
      <c r="M17" s="265" t="n"/>
      <c r="N17" s="458" t="n"/>
      <c r="O17" s="458" t="n"/>
      <c r="P17" s="458" t="n"/>
      <c r="Q17" s="458" t="n"/>
      <c r="R17" s="458" t="n"/>
      <c r="S17" s="458" t="n"/>
      <c r="T17" s="458" t="n"/>
      <c r="U17" s="458">
        <f>SUM(K17:T17)</f>
        <v/>
      </c>
      <c r="V17" s="265">
        <f>+J17-K17-L17-M17-N17-O17-P17-T17-Q17-R17-S17</f>
        <v/>
      </c>
      <c r="W17" s="477">
        <f>+H17-U17</f>
        <v/>
      </c>
      <c r="X17" s="459" t="inlineStr">
        <is>
          <t>SATURNINO GONZALEZ -HABA GIL</t>
        </is>
      </c>
      <c r="Y17" s="460" t="n"/>
    </row>
    <row r="18" ht="18" customHeight="1">
      <c r="A18" s="239">
        <f>+A17+1</f>
        <v/>
      </c>
      <c r="B18" s="35" t="n">
        <v>1</v>
      </c>
      <c r="C18" s="36" t="n">
        <v>2</v>
      </c>
      <c r="D18" s="36" t="inlineStr">
        <is>
          <t>C</t>
        </is>
      </c>
      <c r="E18" s="452">
        <f>+'SITUACION COMERCIAL'!AB25</f>
        <v/>
      </c>
      <c r="F18" s="453">
        <f>IF('SITUACION COMERCIAL'!A25="RESERVADO",'SITUACION COMERCIAL'!S25,0)</f>
        <v/>
      </c>
      <c r="G18" s="456" t="inlineStr">
        <is>
          <t>HABITAT</t>
        </is>
      </c>
      <c r="H18" s="456">
        <f>IF(G18="HABITAT",F18*0.025,F18*0.02)</f>
        <v/>
      </c>
      <c r="I18" s="595">
        <f>+H18/F18</f>
        <v/>
      </c>
      <c r="J18" s="483">
        <f>IF('SITUACION COMERCIAL'!A25="RESERVADO",H18/2,0)</f>
        <v/>
      </c>
      <c r="K18" s="456" t="n">
        <v>1118.125</v>
      </c>
      <c r="L18" s="457" t="n">
        <v>1118.125</v>
      </c>
      <c r="M18" s="265" t="n"/>
      <c r="N18" s="458" t="n"/>
      <c r="O18" s="458" t="n"/>
      <c r="P18" s="458" t="n"/>
      <c r="Q18" s="458" t="n"/>
      <c r="R18" s="458" t="n"/>
      <c r="S18" s="458" t="n"/>
      <c r="T18" s="458" t="n"/>
      <c r="U18" s="458">
        <f>SUM(K18:T18)</f>
        <v/>
      </c>
      <c r="V18" s="265">
        <f>+J18-K18-L18-M18-N18-O18-P18-T18-Q18-R18-S18</f>
        <v/>
      </c>
      <c r="W18" s="477">
        <f>+H18-U18</f>
        <v/>
      </c>
      <c r="X18" s="459" t="inlineStr">
        <is>
          <t>JUAN FRANCISCO OTERO MARTIN</t>
        </is>
      </c>
      <c r="Y18" s="460" t="n"/>
    </row>
    <row r="19" ht="18" customHeight="1">
      <c r="A19" s="239">
        <f>+A18+1</f>
        <v/>
      </c>
      <c r="B19" s="35" t="n">
        <v>1</v>
      </c>
      <c r="C19" s="36" t="n">
        <v>2</v>
      </c>
      <c r="D19" s="36" t="inlineStr">
        <is>
          <t>D</t>
        </is>
      </c>
      <c r="E19" s="452">
        <f>+'SITUACION COMERCIAL'!AB26</f>
        <v/>
      </c>
      <c r="F19" s="453">
        <f>IF('SITUACION COMERCIAL'!A26="RESERVADO",'SITUACION COMERCIAL'!S26,0)</f>
        <v/>
      </c>
      <c r="G19" s="456" t="inlineStr">
        <is>
          <t>HABITAT</t>
        </is>
      </c>
      <c r="H19" s="456">
        <f>IF(G19="HABITAT",F19*0.025,F19*0.02)</f>
        <v/>
      </c>
      <c r="I19" s="595">
        <f>+H19/F19</f>
        <v/>
      </c>
      <c r="J19" s="483">
        <f>IF('SITUACION COMERCIAL'!A26="RESERVADO",H19/2,0)</f>
        <v/>
      </c>
      <c r="K19" s="464" t="n"/>
      <c r="L19" s="465" t="n"/>
      <c r="M19" s="458" t="n">
        <v>2312.5</v>
      </c>
      <c r="N19" s="458" t="n"/>
      <c r="O19" s="458" t="n"/>
      <c r="P19" s="458" t="n"/>
      <c r="Q19" s="458" t="n"/>
      <c r="R19" s="458" t="n"/>
      <c r="S19" s="458" t="n"/>
      <c r="T19" s="458" t="n"/>
      <c r="U19" s="458">
        <f>SUM(K19:T19)-K19</f>
        <v/>
      </c>
      <c r="V19" s="265">
        <f>+J19-K19-L19-M19-N19-O19-P19-T19-Q19-R19-S19</f>
        <v/>
      </c>
      <c r="W19" s="477">
        <f>+H19-U19</f>
        <v/>
      </c>
      <c r="X19" s="471" t="inlineStr">
        <is>
          <t>MARIA JESUS FERNANDEZ SANCHEZ</t>
        </is>
      </c>
      <c r="Y19" s="468" t="n"/>
    </row>
    <row r="20" ht="18" customHeight="1">
      <c r="A20" s="239">
        <f>+A19+1</f>
        <v/>
      </c>
      <c r="B20" s="74" t="n">
        <v>1</v>
      </c>
      <c r="C20" s="75" t="n">
        <v>2</v>
      </c>
      <c r="D20" s="75" t="inlineStr">
        <is>
          <t>E</t>
        </is>
      </c>
      <c r="E20" s="452">
        <f>+'SITUACION COMERCIAL'!AB27</f>
        <v/>
      </c>
      <c r="F20" s="453">
        <f>IF('SITUACION COMERCIAL'!A27="RESERVADO",'SITUACION COMERCIAL'!S27,0)</f>
        <v/>
      </c>
      <c r="G20" s="456" t="inlineStr">
        <is>
          <t>HABITAT</t>
        </is>
      </c>
      <c r="H20" s="456">
        <f>IF(G20="HABITAT",F20*0.025,F20*0.02)</f>
        <v/>
      </c>
      <c r="I20" s="595">
        <f>+H20/F20</f>
        <v/>
      </c>
      <c r="J20" s="483">
        <f>IF('SITUACION COMERCIAL'!A27="RESERVADO",H20/2,0)</f>
        <v/>
      </c>
      <c r="K20" s="456" t="n">
        <v>1087.5</v>
      </c>
      <c r="L20" s="457" t="n">
        <v>1175</v>
      </c>
      <c r="M20" s="265" t="n"/>
      <c r="N20" s="458" t="n"/>
      <c r="O20" s="458" t="n"/>
      <c r="P20" s="458" t="n"/>
      <c r="Q20" s="458" t="n"/>
      <c r="R20" s="458" t="n"/>
      <c r="S20" s="458" t="n"/>
      <c r="T20" s="458" t="n"/>
      <c r="U20" s="458">
        <f>SUM(K20:T20)</f>
        <v/>
      </c>
      <c r="V20" s="265">
        <f>+J20-K20-L20-M20-N20-O20-P20-T20-Q20-R20-S20</f>
        <v/>
      </c>
      <c r="W20" s="477">
        <f>+H20-U20</f>
        <v/>
      </c>
      <c r="X20" s="459" t="inlineStr">
        <is>
          <t>MANUEL JOSE SUAREZ MARTIN</t>
        </is>
      </c>
      <c r="Y20" s="460" t="n"/>
    </row>
    <row r="21" ht="18" customHeight="1" thickBot="1">
      <c r="A21" s="241">
        <f>+A20+1</f>
        <v/>
      </c>
      <c r="B21" s="81" t="n">
        <v>1</v>
      </c>
      <c r="C21" s="82" t="n">
        <v>2</v>
      </c>
      <c r="D21" s="53" t="inlineStr">
        <is>
          <t>F</t>
        </is>
      </c>
      <c r="E21" s="452">
        <f>+'SITUACION COMERCIAL'!AB28</f>
        <v/>
      </c>
      <c r="F21" s="453">
        <f>IF('SITUACION COMERCIAL'!A28="RESERVADO",'SITUACION COMERCIAL'!S28,0)</f>
        <v/>
      </c>
      <c r="G21" s="456" t="inlineStr">
        <is>
          <t>HABITAT</t>
        </is>
      </c>
      <c r="H21" s="456">
        <f>IF(G21="HABITAT",F21*0.025,F21*0.02)</f>
        <v/>
      </c>
      <c r="I21" s="595">
        <f>+H21/F21</f>
        <v/>
      </c>
      <c r="J21" s="483">
        <f>IF('SITUACION COMERCIAL'!A28="RESERVADO",H21/2,0)</f>
        <v/>
      </c>
      <c r="K21" s="464" t="n"/>
      <c r="L21" s="465" t="n"/>
      <c r="M21" s="466" t="n"/>
      <c r="N21" s="458" t="n">
        <v>2337.5</v>
      </c>
      <c r="O21" s="458" t="n"/>
      <c r="P21" s="458" t="n"/>
      <c r="Q21" s="458" t="n"/>
      <c r="R21" s="458" t="n"/>
      <c r="S21" s="458" t="n"/>
      <c r="T21" s="458" t="n"/>
      <c r="U21" s="458">
        <f>SUM(K21:T21)-K21</f>
        <v/>
      </c>
      <c r="V21" s="265">
        <f>+J21-K21-L21-M21-N21-O21-P21-T21-Q21-R21-S21</f>
        <v/>
      </c>
      <c r="W21" s="477">
        <f>+H21-U21</f>
        <v/>
      </c>
      <c r="X21" s="467" t="n"/>
      <c r="Y21" s="468" t="n"/>
    </row>
    <row r="22" ht="18" customHeight="1">
      <c r="A22" s="240">
        <f>+A21+1</f>
        <v/>
      </c>
      <c r="B22" s="59" t="n">
        <v>1</v>
      </c>
      <c r="C22" s="60" t="n">
        <v>3</v>
      </c>
      <c r="D22" s="60" t="inlineStr">
        <is>
          <t>A</t>
        </is>
      </c>
      <c r="E22" s="452">
        <f>+'SITUACION COMERCIAL'!AB29</f>
        <v/>
      </c>
      <c r="F22" s="453">
        <f>IF('SITUACION COMERCIAL'!A29="RESERVADO",'SITUACION COMERCIAL'!S29,0)</f>
        <v/>
      </c>
      <c r="G22" s="456" t="inlineStr">
        <is>
          <t>HABITAT</t>
        </is>
      </c>
      <c r="H22" s="456">
        <f>IF(G22="HABITAT",F22*0.025,F22*0.02)</f>
        <v/>
      </c>
      <c r="I22" s="595">
        <f>+H22/F22</f>
        <v/>
      </c>
      <c r="J22" s="483">
        <f>IF('SITUACION COMERCIAL'!A29="RESERVADO",H22/2,0)</f>
        <v/>
      </c>
      <c r="K22" s="456" t="n">
        <v>1875.625</v>
      </c>
      <c r="L22" s="457" t="n">
        <v>1875.625</v>
      </c>
      <c r="M22" s="265" t="n"/>
      <c r="N22" s="458" t="n"/>
      <c r="O22" s="458" t="n"/>
      <c r="P22" s="458" t="n"/>
      <c r="Q22" s="458" t="n"/>
      <c r="R22" s="458" t="n"/>
      <c r="S22" s="458" t="n"/>
      <c r="T22" s="458" t="n"/>
      <c r="U22" s="458">
        <f>SUM(K22:T22)</f>
        <v/>
      </c>
      <c r="V22" s="265">
        <f>+J22-K22-L22-M22-N22-O22-P22-T22-Q22-R22-S22</f>
        <v/>
      </c>
      <c r="W22" s="477">
        <f>+H22-U22</f>
        <v/>
      </c>
      <c r="X22" s="459" t="inlineStr">
        <is>
          <t>DIEGO GARCIA RUBIO</t>
        </is>
      </c>
      <c r="Y22" s="460" t="n"/>
    </row>
    <row r="23" ht="18" customHeight="1">
      <c r="A23" s="239">
        <f>+A22+1</f>
        <v/>
      </c>
      <c r="B23" s="35" t="n">
        <v>1</v>
      </c>
      <c r="C23" s="100" t="n">
        <v>3</v>
      </c>
      <c r="D23" s="36" t="inlineStr">
        <is>
          <t>B</t>
        </is>
      </c>
      <c r="E23" s="452">
        <f>+'SITUACION COMERCIAL'!AB30</f>
        <v/>
      </c>
      <c r="F23" s="453">
        <f>IF('SITUACION COMERCIAL'!A30="RESERVADO",'SITUACION COMERCIAL'!S30,0)</f>
        <v/>
      </c>
      <c r="G23" s="456" t="inlineStr">
        <is>
          <t>HABITAT</t>
        </is>
      </c>
      <c r="H23" s="456">
        <f>IF(G23="HABITAT",F23*0.025,F23*0.02)</f>
        <v/>
      </c>
      <c r="I23" s="595">
        <f>+H23/F23</f>
        <v/>
      </c>
      <c r="J23" s="483">
        <f>IF('SITUACION COMERCIAL'!A30="RESERVADO",H23/2,0)</f>
        <v/>
      </c>
      <c r="K23" s="456" t="n">
        <v>1498.125</v>
      </c>
      <c r="L23" s="457" t="n">
        <v>1498.125</v>
      </c>
      <c r="M23" s="265" t="n"/>
      <c r="N23" s="458" t="n"/>
      <c r="O23" s="458" t="n"/>
      <c r="P23" s="458" t="n"/>
      <c r="Q23" s="458" t="n"/>
      <c r="R23" s="458" t="n"/>
      <c r="S23" s="458" t="n"/>
      <c r="T23" s="458" t="n"/>
      <c r="U23" s="458">
        <f>SUM(K23:T23)</f>
        <v/>
      </c>
      <c r="V23" s="265">
        <f>+J23-K23-L23-M23-N23-O23-P23-T23-Q23-R23-S23</f>
        <v/>
      </c>
      <c r="W23" s="477">
        <f>+H23-U23</f>
        <v/>
      </c>
      <c r="X23" s="459" t="inlineStr">
        <is>
          <t>FELIPA PEREZ CORRALES</t>
        </is>
      </c>
      <c r="Y23" s="460" t="n"/>
    </row>
    <row r="24" ht="18" customHeight="1">
      <c r="A24" s="239">
        <f>+A23+1</f>
        <v/>
      </c>
      <c r="B24" s="35" t="n">
        <v>1</v>
      </c>
      <c r="C24" s="100" t="n">
        <v>3</v>
      </c>
      <c r="D24" s="36" t="inlineStr">
        <is>
          <t>C</t>
        </is>
      </c>
      <c r="E24" s="452">
        <f>+'SITUACION COMERCIAL'!AB31</f>
        <v/>
      </c>
      <c r="F24" s="453">
        <f>IF('SITUACION COMERCIAL'!A31="RESERVADO",'SITUACION COMERCIAL'!S31,0)</f>
        <v/>
      </c>
      <c r="G24" s="456" t="inlineStr">
        <is>
          <t>HABITAT</t>
        </is>
      </c>
      <c r="H24" s="456">
        <f>IF(G24="HABITAT",F24*0.025,F24*0.02)</f>
        <v/>
      </c>
      <c r="I24" s="595">
        <f>+H24/F24</f>
        <v/>
      </c>
      <c r="J24" s="483">
        <f>IF('SITUACION COMERCIAL'!A31="RESERVADO",H24/2,0)</f>
        <v/>
      </c>
      <c r="K24" s="456" t="n">
        <v>1135</v>
      </c>
      <c r="L24" s="457" t="n">
        <v>1135</v>
      </c>
      <c r="M24" s="265" t="n"/>
      <c r="N24" s="458" t="n"/>
      <c r="O24" s="458" t="n"/>
      <c r="P24" s="458" t="n"/>
      <c r="Q24" s="458" t="n"/>
      <c r="R24" s="458" t="n"/>
      <c r="S24" s="458" t="n"/>
      <c r="T24" s="458" t="n"/>
      <c r="U24" s="458">
        <f>SUM(K24:T24)</f>
        <v/>
      </c>
      <c r="V24" s="265">
        <f>+J24-K24-L24-M24-N24-O24-P24-T24-Q24-R24-S24</f>
        <v/>
      </c>
      <c r="W24" s="477">
        <f>+H24-U24</f>
        <v/>
      </c>
      <c r="X24" s="459" t="inlineStr">
        <is>
          <t>PAULINO CONEJO NAVARRETE</t>
        </is>
      </c>
      <c r="Y24" s="460" t="n"/>
    </row>
    <row r="25" ht="18" customHeight="1">
      <c r="A25" s="239">
        <f>+A24+1</f>
        <v/>
      </c>
      <c r="B25" s="35" t="n">
        <v>1</v>
      </c>
      <c r="C25" s="100" t="n">
        <v>3</v>
      </c>
      <c r="D25" s="36" t="inlineStr">
        <is>
          <t>D</t>
        </is>
      </c>
      <c r="E25" s="452">
        <f>+'SITUACION COMERCIAL'!AB32</f>
        <v/>
      </c>
      <c r="F25" s="453">
        <f>IF('SITUACION COMERCIAL'!A32="RESERVADO",'SITUACION COMERCIAL'!S32,0)</f>
        <v/>
      </c>
      <c r="G25" s="456" t="inlineStr">
        <is>
          <t>HABITAT</t>
        </is>
      </c>
      <c r="H25" s="456">
        <f>IF(G25="HABITAT",F25*0.025,F25*0.02)</f>
        <v/>
      </c>
      <c r="I25" s="595">
        <f>+H25/F25</f>
        <v/>
      </c>
      <c r="J25" s="483">
        <f>IF('SITUACION COMERCIAL'!A32="RESERVADO",H25/2,0)</f>
        <v/>
      </c>
      <c r="K25" s="456" t="n">
        <v>1150</v>
      </c>
      <c r="L25" s="457" t="n">
        <v>1150</v>
      </c>
      <c r="M25" s="265" t="n"/>
      <c r="N25" s="458" t="n"/>
      <c r="O25" s="458" t="n"/>
      <c r="P25" s="458" t="n"/>
      <c r="Q25" s="458" t="n"/>
      <c r="R25" s="458" t="n"/>
      <c r="S25" s="458" t="n"/>
      <c r="T25" s="458" t="n"/>
      <c r="U25" s="458">
        <f>SUM(K25:T25)</f>
        <v/>
      </c>
      <c r="V25" s="265">
        <f>+J25-K25-L25-M25-N25-O25-P25-T25-Q25-R25-S25</f>
        <v/>
      </c>
      <c r="W25" s="477">
        <f>+H25-U25</f>
        <v/>
      </c>
      <c r="X25" s="459" t="inlineStr">
        <is>
          <t>PAULINO CONEJO NAVARRETE</t>
        </is>
      </c>
      <c r="Y25" s="460" t="n"/>
    </row>
    <row r="26" ht="18" customHeight="1">
      <c r="A26" s="239">
        <f>+A25+1</f>
        <v/>
      </c>
      <c r="B26" s="74" t="n">
        <v>1</v>
      </c>
      <c r="C26" s="102" t="n">
        <v>3</v>
      </c>
      <c r="D26" s="75" t="inlineStr">
        <is>
          <t>E</t>
        </is>
      </c>
      <c r="E26" s="452">
        <f>+'SITUACION COMERCIAL'!AB33</f>
        <v/>
      </c>
      <c r="F26" s="453">
        <f>IF('SITUACION COMERCIAL'!A33="RESERVADO",'SITUACION COMERCIAL'!S33,0)</f>
        <v/>
      </c>
      <c r="G26" s="456" t="inlineStr">
        <is>
          <t>HABITAT</t>
        </is>
      </c>
      <c r="H26" s="456">
        <f>IF(G26="HABITAT",F26*0.025,F26*0.02)</f>
        <v/>
      </c>
      <c r="I26" s="595">
        <f>+H26/F26</f>
        <v/>
      </c>
      <c r="J26" s="483">
        <f>IF('SITUACION COMERCIAL'!A33="RESERVADO",H26/2,0)</f>
        <v/>
      </c>
      <c r="K26" s="456" t="n">
        <v>1150</v>
      </c>
      <c r="L26" s="457" t="n">
        <v>1150</v>
      </c>
      <c r="M26" s="265" t="n"/>
      <c r="N26" s="458" t="n"/>
      <c r="O26" s="458" t="n"/>
      <c r="P26" s="458" t="n"/>
      <c r="Q26" s="458" t="n"/>
      <c r="R26" s="458" t="n"/>
      <c r="S26" s="458" t="n"/>
      <c r="T26" s="458" t="n"/>
      <c r="U26" s="458">
        <f>SUM(K26:T26)</f>
        <v/>
      </c>
      <c r="V26" s="265">
        <f>+J26-K26-L26-M26-N26-O26-P26-T26-Q26-R26-S26</f>
        <v/>
      </c>
      <c r="W26" s="477">
        <f>+H26-U26</f>
        <v/>
      </c>
      <c r="X26" s="459" t="inlineStr">
        <is>
          <t>TRINIDAD VILLALOBOS SAAVEDRA</t>
        </is>
      </c>
      <c r="Y26" s="460" t="n"/>
    </row>
    <row r="27" ht="18" customHeight="1" thickBot="1">
      <c r="A27" s="241">
        <f>+A26+1</f>
        <v/>
      </c>
      <c r="B27" s="81" t="n">
        <v>1</v>
      </c>
      <c r="C27" s="53" t="n">
        <v>3</v>
      </c>
      <c r="D27" s="53" t="inlineStr">
        <is>
          <t>F</t>
        </is>
      </c>
      <c r="E27" s="452">
        <f>+'SITUACION COMERCIAL'!AB34</f>
        <v/>
      </c>
      <c r="F27" s="453">
        <f>IF('SITUACION COMERCIAL'!A34="RESERVADO",'SITUACION COMERCIAL'!S34,0)</f>
        <v/>
      </c>
      <c r="G27" s="456" t="inlineStr">
        <is>
          <t>HABITAT</t>
        </is>
      </c>
      <c r="H27" s="456">
        <f>IF(G27="HABITAT",F27*0.025,F27*0.02)</f>
        <v/>
      </c>
      <c r="I27" s="595">
        <f>+H27/F27</f>
        <v/>
      </c>
      <c r="J27" s="483">
        <f>IF('SITUACION COMERCIAL'!A34="RESERVADO",H27/2,0)</f>
        <v/>
      </c>
      <c r="K27" s="456" t="n">
        <v>1106.25</v>
      </c>
      <c r="L27" s="457" t="n">
        <v>1193.75</v>
      </c>
      <c r="M27" s="265" t="n"/>
      <c r="N27" s="458" t="n"/>
      <c r="O27" s="458" t="n"/>
      <c r="P27" s="458" t="n"/>
      <c r="Q27" s="458" t="n"/>
      <c r="R27" s="458" t="n"/>
      <c r="S27" s="458" t="n"/>
      <c r="T27" s="458" t="n"/>
      <c r="U27" s="458">
        <f>SUM(K27:T27)</f>
        <v/>
      </c>
      <c r="V27" s="265">
        <f>+J27-K27-L27-M27-N27-O27-P27-T27-Q27-R27-S27</f>
        <v/>
      </c>
      <c r="W27" s="477">
        <f>+H27-U27</f>
        <v/>
      </c>
      <c r="X27" s="459" t="inlineStr">
        <is>
          <t>MARIA JOSEFA MANCHADO MORAGA</t>
        </is>
      </c>
      <c r="Y27" s="460" t="n"/>
    </row>
    <row r="28" ht="18" customHeight="1">
      <c r="A28" s="240">
        <f>+A27+1</f>
        <v/>
      </c>
      <c r="B28" s="59" t="n">
        <v>1</v>
      </c>
      <c r="C28" s="60" t="n">
        <v>4</v>
      </c>
      <c r="D28" s="105" t="inlineStr">
        <is>
          <t>A</t>
        </is>
      </c>
      <c r="E28" s="452">
        <f>+'SITUACION COMERCIAL'!AB35</f>
        <v/>
      </c>
      <c r="F28" s="453">
        <f>IF('SITUACION COMERCIAL'!A35="RESERVADO",'SITUACION COMERCIAL'!S35,0)</f>
        <v/>
      </c>
      <c r="G28" s="472" t="inlineStr">
        <is>
          <t>EDETICA</t>
        </is>
      </c>
      <c r="H28" s="456">
        <f>IF(G28="HABITAT",F28*0.025,F28*0.02)</f>
        <v/>
      </c>
      <c r="I28" s="597">
        <f>+H28/F28</f>
        <v/>
      </c>
      <c r="J28" s="483">
        <f>IF('SITUACION COMERCIAL'!A35="RESERVADO",H28/2,0)</f>
        <v/>
      </c>
      <c r="K28" s="456" t="n">
        <v>1383</v>
      </c>
      <c r="L28" s="457" t="n">
        <v>1383</v>
      </c>
      <c r="M28" s="265" t="n"/>
      <c r="N28" s="458" t="n"/>
      <c r="O28" s="458" t="n"/>
      <c r="P28" s="458" t="n"/>
      <c r="Q28" s="458" t="n"/>
      <c r="R28" s="458" t="n"/>
      <c r="S28" s="458" t="n"/>
      <c r="T28" s="458" t="n"/>
      <c r="U28" s="458">
        <f>SUM(K28:T28)</f>
        <v/>
      </c>
      <c r="V28" s="265">
        <f>+J28-K28-L28-M28-N28-O28-P28-T28-Q28-R28-S28</f>
        <v/>
      </c>
      <c r="W28" s="477">
        <f>+H28-U28</f>
        <v/>
      </c>
      <c r="X28" s="459" t="inlineStr">
        <is>
          <t>SERVILIANO VALENCIA DIAZ</t>
        </is>
      </c>
      <c r="Y28" s="460" t="n"/>
    </row>
    <row r="29" ht="18" customHeight="1">
      <c r="A29" s="239">
        <f>+A28+1</f>
        <v/>
      </c>
      <c r="B29" s="35" t="n">
        <v>1</v>
      </c>
      <c r="C29" s="100" t="n">
        <v>4</v>
      </c>
      <c r="D29" s="36" t="inlineStr">
        <is>
          <t>B</t>
        </is>
      </c>
      <c r="E29" s="452">
        <f>+'SITUACION COMERCIAL'!AB36</f>
        <v/>
      </c>
      <c r="F29" s="453">
        <f>IF('SITUACION COMERCIAL'!A36="RESERVADO",'SITUACION COMERCIAL'!S36,0)</f>
        <v/>
      </c>
      <c r="G29" s="463" t="inlineStr">
        <is>
          <t>HABITAT</t>
        </is>
      </c>
      <c r="H29" s="456">
        <f>IF(G29="HABITAT",F29*0.025,F29*0.02)</f>
        <v/>
      </c>
      <c r="I29" s="598">
        <f>+H29/F29</f>
        <v/>
      </c>
      <c r="J29" s="483">
        <f>IF('SITUACION COMERCIAL'!A36="RESERVADO",H29/2,0)</f>
        <v/>
      </c>
      <c r="K29" s="456" t="n">
        <v>0</v>
      </c>
      <c r="L29" s="457" t="n">
        <v>2373.75</v>
      </c>
      <c r="M29" s="265" t="n"/>
      <c r="N29" s="458" t="n"/>
      <c r="O29" s="458" t="n"/>
      <c r="P29" s="458" t="n"/>
      <c r="Q29" s="458" t="n"/>
      <c r="R29" s="458" t="n"/>
      <c r="S29" s="458" t="n"/>
      <c r="T29" s="458" t="n"/>
      <c r="U29" s="458">
        <f>SUM(K29:T29)</f>
        <v/>
      </c>
      <c r="V29" s="265">
        <f>+J29-K29-L29-M29-N29-O29-P29-T29-Q29-R29-S29</f>
        <v/>
      </c>
      <c r="W29" s="477">
        <f>+H29-U29</f>
        <v/>
      </c>
      <c r="X29" s="459" t="inlineStr">
        <is>
          <t>ANTONIO SANTIAGO ROMERO</t>
        </is>
      </c>
      <c r="Y29" s="460" t="n"/>
    </row>
    <row r="30" ht="18" customHeight="1">
      <c r="A30" s="239">
        <f>+A29+1</f>
        <v/>
      </c>
      <c r="B30" s="74" t="n">
        <v>1</v>
      </c>
      <c r="C30" s="102" t="n">
        <v>4</v>
      </c>
      <c r="D30" s="75" t="inlineStr">
        <is>
          <t>C</t>
        </is>
      </c>
      <c r="E30" s="452">
        <f>+'SITUACION COMERCIAL'!AB37</f>
        <v/>
      </c>
      <c r="F30" s="453">
        <f>IF('SITUACION COMERCIAL'!A37="RESERVADO",'SITUACION COMERCIAL'!S37,0)</f>
        <v/>
      </c>
      <c r="G30" s="463" t="inlineStr">
        <is>
          <t>HABITAT</t>
        </is>
      </c>
      <c r="H30" s="456">
        <f>IF(G30="HABITAT",F30*0.025,F30*0.02)</f>
        <v/>
      </c>
      <c r="I30" s="598">
        <f>+H30/F30</f>
        <v/>
      </c>
      <c r="J30" s="483">
        <f>IF('SITUACION COMERCIAL'!A37="RESERVADO",H30/2,0)</f>
        <v/>
      </c>
      <c r="K30" s="456" t="n">
        <v>0</v>
      </c>
      <c r="L30" s="457" t="n">
        <v>2337.5</v>
      </c>
      <c r="M30" s="265" t="n"/>
      <c r="N30" s="458" t="n"/>
      <c r="O30" s="458" t="n"/>
      <c r="P30" s="458" t="n"/>
      <c r="Q30" s="458" t="n"/>
      <c r="R30" s="458" t="n"/>
      <c r="S30" s="458" t="n"/>
      <c r="T30" s="458" t="n"/>
      <c r="U30" s="458">
        <f>SUM(K30:T30)</f>
        <v/>
      </c>
      <c r="V30" s="265">
        <f>+J30-K30-L30-M30-N30-O30-P30-T30-Q30-R30-S30</f>
        <v/>
      </c>
      <c r="W30" s="477">
        <f>+H30-U30</f>
        <v/>
      </c>
      <c r="X30" s="459" t="inlineStr">
        <is>
          <t>VICENTE MIGUEL SUAREZ MARTIN</t>
        </is>
      </c>
      <c r="Y30" s="460" t="n"/>
    </row>
    <row r="31" ht="18" customHeight="1" thickBot="1">
      <c r="A31" s="241">
        <f>+A30+1</f>
        <v/>
      </c>
      <c r="B31" s="81" t="n">
        <v>1</v>
      </c>
      <c r="C31" s="82" t="n">
        <v>4</v>
      </c>
      <c r="D31" s="82" t="inlineStr">
        <is>
          <t>D</t>
        </is>
      </c>
      <c r="E31" s="452">
        <f>+'SITUACION COMERCIAL'!AB38</f>
        <v/>
      </c>
      <c r="F31" s="453">
        <f>IF('SITUACION COMERCIAL'!A38="RESERVADO",'SITUACION COMERCIAL'!S38,0)</f>
        <v/>
      </c>
      <c r="G31" s="463" t="inlineStr">
        <is>
          <t>HABITAT</t>
        </is>
      </c>
      <c r="H31" s="456">
        <f>IF(G31="HABITAT",F31*0.025,F31*0.02)</f>
        <v/>
      </c>
      <c r="I31" s="598">
        <f>+H31/F31</f>
        <v/>
      </c>
      <c r="J31" s="483">
        <f>IF('SITUACION COMERCIAL'!A38="RESERVADO",H31/2,0)</f>
        <v/>
      </c>
      <c r="K31" s="456" t="n">
        <v>0</v>
      </c>
      <c r="L31" s="457" t="n">
        <v>2373.75</v>
      </c>
      <c r="M31" s="265" t="n"/>
      <c r="N31" s="458" t="n"/>
      <c r="O31" s="458" t="n"/>
      <c r="P31" s="458" t="n"/>
      <c r="Q31" s="458" t="n"/>
      <c r="R31" s="458" t="n"/>
      <c r="S31" s="458" t="n"/>
      <c r="T31" s="458" t="n"/>
      <c r="U31" s="458">
        <f>SUM(K31:T31)</f>
        <v/>
      </c>
      <c r="V31" s="265">
        <f>+J31-K31-L31-M31-N31-O31-P31-T31-Q31-R31-S31</f>
        <v/>
      </c>
      <c r="W31" s="477">
        <f>+H31-U31</f>
        <v/>
      </c>
      <c r="X31" s="459" t="inlineStr">
        <is>
          <t>ELENA SANCHEZ RICO</t>
        </is>
      </c>
      <c r="Y31" s="460" t="n"/>
    </row>
    <row r="32" ht="18" customHeight="1">
      <c r="A32" s="345">
        <f>+A31+1</f>
        <v/>
      </c>
      <c r="B32" s="59" t="n">
        <v>1</v>
      </c>
      <c r="C32" s="105" t="n">
        <v>5</v>
      </c>
      <c r="D32" s="105" t="inlineStr">
        <is>
          <t>A</t>
        </is>
      </c>
      <c r="E32" s="452">
        <f>+'SITUACION COMERCIAL'!AB39</f>
        <v/>
      </c>
      <c r="F32" s="453">
        <f>IF('SITUACION COMERCIAL'!A39="RESERVADO",'SITUACION COMERCIAL'!S39,0)</f>
        <v/>
      </c>
      <c r="G32" s="472" t="inlineStr">
        <is>
          <t>EDETICA</t>
        </is>
      </c>
      <c r="H32" s="456">
        <f>IF(G32="HABITAT",F32*0.025,F32*0.02)</f>
        <v/>
      </c>
      <c r="I32" s="597">
        <f>+H32/F32</f>
        <v/>
      </c>
      <c r="J32" s="483">
        <f>IF('SITUACION COMERCIAL'!A39="RESERVADO",H32/2,0)</f>
        <v/>
      </c>
      <c r="K32" s="456" t="n">
        <v>1338.5</v>
      </c>
      <c r="L32" s="457" t="n">
        <v>1338.5</v>
      </c>
      <c r="M32" s="265" t="n"/>
      <c r="N32" s="458" t="n"/>
      <c r="O32" s="458" t="n"/>
      <c r="P32" s="458" t="n"/>
      <c r="Q32" s="458" t="n"/>
      <c r="R32" s="458" t="n"/>
      <c r="S32" s="458" t="n"/>
      <c r="T32" s="458" t="n"/>
      <c r="U32" s="458">
        <f>SUM(K32:T32)</f>
        <v/>
      </c>
      <c r="V32" s="477" t="n">
        <v>0</v>
      </c>
      <c r="W32" s="477">
        <f>+H32-U32</f>
        <v/>
      </c>
      <c r="X32" s="459" t="inlineStr">
        <is>
          <t>COMERCIAL ROMERO DE SONDEOS S.L.</t>
        </is>
      </c>
      <c r="Y32" s="460" t="n"/>
    </row>
    <row r="33" ht="18" customHeight="1">
      <c r="A33" s="128">
        <f>+A32+1</f>
        <v/>
      </c>
      <c r="B33" s="35" t="n">
        <v>1</v>
      </c>
      <c r="C33" s="36" t="n">
        <v>5</v>
      </c>
      <c r="D33" s="100" t="inlineStr">
        <is>
          <t>B</t>
        </is>
      </c>
      <c r="E33" s="452">
        <f>+'SITUACION COMERCIAL'!AB40</f>
        <v/>
      </c>
      <c r="F33" s="453">
        <f>IF('SITUACION COMERCIAL'!A40="RESERVADO",'SITUACION COMERCIAL'!S40,0)</f>
        <v/>
      </c>
      <c r="G33" s="463" t="inlineStr">
        <is>
          <t>HABITAT</t>
        </is>
      </c>
      <c r="H33" s="462">
        <f>IF(G33="HABITAT",F33*0.025,F33*0.02)</f>
        <v/>
      </c>
      <c r="I33" s="598">
        <f>+H33/F33</f>
        <v/>
      </c>
      <c r="J33" s="483">
        <f>IF('SITUACION COMERCIAL'!A40="RESERVADO",H33/2,0)</f>
        <v/>
      </c>
      <c r="K33" s="456" t="n"/>
      <c r="L33" s="457" t="n"/>
      <c r="M33" s="265" t="n"/>
      <c r="N33" s="458" t="n"/>
      <c r="O33" s="458" t="n"/>
      <c r="P33" s="458" t="n"/>
      <c r="Q33" s="458" t="n"/>
      <c r="R33" s="458" t="n">
        <v>3812.5</v>
      </c>
      <c r="S33" s="458" t="n"/>
      <c r="T33" s="458" t="n"/>
      <c r="U33" s="458">
        <f>SUM(K33:T33)</f>
        <v/>
      </c>
      <c r="V33" s="265">
        <f>+J33-K33-L33-M33-N33-O33-P33-T33-Q33-R33-S33</f>
        <v/>
      </c>
      <c r="W33" s="477">
        <f>+H33-U33</f>
        <v/>
      </c>
      <c r="X33" s="459" t="n"/>
      <c r="Y33" s="460" t="n"/>
    </row>
    <row r="34" ht="18" customHeight="1" thickBot="1">
      <c r="A34" s="346">
        <f>+A33+1</f>
        <v/>
      </c>
      <c r="B34" s="114" t="n">
        <v>1</v>
      </c>
      <c r="C34" s="115" t="n">
        <v>5</v>
      </c>
      <c r="D34" s="115" t="inlineStr">
        <is>
          <t>C</t>
        </is>
      </c>
      <c r="E34" s="452">
        <f>+'SITUACION COMERCIAL'!AB41</f>
        <v/>
      </c>
      <c r="F34" s="453">
        <f>IF('SITUACION COMERCIAL'!A41="RESERVADO",'SITUACION COMERCIAL'!S41,0)</f>
        <v/>
      </c>
      <c r="G34" s="456" t="inlineStr">
        <is>
          <t>HABITAT</t>
        </is>
      </c>
      <c r="H34" s="456">
        <f>IF(G34="HABITAT",F34*0.025,F34*0.02)</f>
        <v/>
      </c>
      <c r="I34" s="595">
        <f>+H34/F34</f>
        <v/>
      </c>
      <c r="J34" s="483">
        <f>IF('SITUACION COMERCIAL'!A41="RESERVADO",H34/2,0)</f>
        <v/>
      </c>
      <c r="K34" s="456" t="n">
        <v>1696.25</v>
      </c>
      <c r="L34" s="457" t="n">
        <v>1696.25</v>
      </c>
      <c r="M34" s="265" t="n"/>
      <c r="N34" s="458" t="n"/>
      <c r="O34" s="458" t="n"/>
      <c r="P34" s="458" t="n"/>
      <c r="Q34" s="458" t="n"/>
      <c r="R34" s="458" t="n"/>
      <c r="S34" s="458" t="n"/>
      <c r="T34" s="458" t="n"/>
      <c r="U34" s="458">
        <f>SUM(K34:T34)</f>
        <v/>
      </c>
      <c r="V34" s="265">
        <f>+J34-K34-L34-M34-N34-O34-P34-T34-Q34-R34-S34</f>
        <v/>
      </c>
      <c r="W34" s="477">
        <f>+H34-U34</f>
        <v/>
      </c>
      <c r="X34" s="459" t="inlineStr">
        <is>
          <t>ANGEL GUTIERREZ ROBLES</t>
        </is>
      </c>
      <c r="Y34" s="460" t="n"/>
    </row>
    <row r="35" ht="18" customHeight="1">
      <c r="A35" s="121">
        <f>+A34+1</f>
        <v/>
      </c>
      <c r="B35" s="122" t="n">
        <v>2</v>
      </c>
      <c r="C35" s="123" t="inlineStr">
        <is>
          <t>BAJA</t>
        </is>
      </c>
      <c r="D35" s="123" t="inlineStr">
        <is>
          <t>A</t>
        </is>
      </c>
      <c r="E35" s="452">
        <f>+'SITUACION COMERCIAL'!AB42</f>
        <v/>
      </c>
      <c r="F35" s="453">
        <f>IF('SITUACION COMERCIAL'!A42="RESERVADO",'SITUACION COMERCIAL'!S42,0)</f>
        <v/>
      </c>
      <c r="G35" s="456" t="inlineStr">
        <is>
          <t>HABITAT</t>
        </is>
      </c>
      <c r="H35" s="462">
        <f>IF(G35="HABITAT",F35*0.025,F35*0.02)</f>
        <v/>
      </c>
      <c r="I35" s="595">
        <f>+H35/F35</f>
        <v/>
      </c>
      <c r="J35" s="483">
        <f>IF('SITUACION COMERCIAL'!A42="RESERVADO",H35/2,0)</f>
        <v/>
      </c>
      <c r="K35" s="456" t="n"/>
      <c r="L35" s="457" t="n"/>
      <c r="M35" s="265" t="n"/>
      <c r="N35" s="458" t="n"/>
      <c r="O35" s="458" t="n"/>
      <c r="P35" s="458" t="n"/>
      <c r="Q35" s="458" t="n"/>
      <c r="R35" s="458" t="n"/>
      <c r="S35" s="458" t="n">
        <v>4750</v>
      </c>
      <c r="T35" s="458" t="n"/>
      <c r="U35" s="458">
        <f>SUM(K35:T35)</f>
        <v/>
      </c>
      <c r="V35" s="265">
        <f>+J35-K35-L35-M35-N35-O35-P35-T35-Q35-R35-S35</f>
        <v/>
      </c>
      <c r="W35" s="477">
        <f>+H35-U35</f>
        <v/>
      </c>
      <c r="X35" s="459" t="n"/>
      <c r="Y35" s="460" t="n"/>
    </row>
    <row r="36" ht="18" customHeight="1">
      <c r="A36" s="128">
        <f>+A35+1</f>
        <v/>
      </c>
      <c r="B36" s="129" t="n">
        <v>2</v>
      </c>
      <c r="C36" s="130" t="inlineStr">
        <is>
          <t>BAJA</t>
        </is>
      </c>
      <c r="D36" s="131" t="inlineStr">
        <is>
          <t>B</t>
        </is>
      </c>
      <c r="E36" s="452">
        <f>+'SITUACION COMERCIAL'!AB43</f>
        <v/>
      </c>
      <c r="F36" s="453">
        <f>IF('SITUACION COMERCIAL'!A43="RESERVADO",'SITUACION COMERCIAL'!S43,0)</f>
        <v/>
      </c>
      <c r="G36" s="456" t="inlineStr">
        <is>
          <t>HABITAT</t>
        </is>
      </c>
      <c r="H36" s="462">
        <f>IF(G36="HABITAT",F36*0.025,F36*0.02)</f>
        <v/>
      </c>
      <c r="I36" s="595">
        <f>+H36/F36</f>
        <v/>
      </c>
      <c r="J36" s="483">
        <f>IF('SITUACION COMERCIAL'!A43="RESERVADO",H36/2,0)</f>
        <v/>
      </c>
      <c r="K36" s="456" t="n"/>
      <c r="L36" s="457" t="n"/>
      <c r="M36" s="265" t="n"/>
      <c r="N36" s="458" t="n"/>
      <c r="O36" s="458" t="n"/>
      <c r="P36" s="458" t="n"/>
      <c r="Q36" s="458" t="n"/>
      <c r="R36" s="458" t="n"/>
      <c r="S36" s="458" t="n"/>
      <c r="T36" s="458" t="n"/>
      <c r="U36" s="458">
        <f>SUM(K36:T36)</f>
        <v/>
      </c>
      <c r="V36" s="265">
        <f>+J36-K36-L36-M36-N36-O36-P36-T36-Q36-R36-S36</f>
        <v/>
      </c>
      <c r="W36" s="477">
        <f>+H36-U36</f>
        <v/>
      </c>
      <c r="X36" s="459" t="n"/>
      <c r="Y36" s="460" t="n"/>
    </row>
    <row r="37" ht="18" customHeight="1">
      <c r="A37" s="128">
        <f>+A36+1</f>
        <v/>
      </c>
      <c r="B37" s="129" t="n">
        <v>2</v>
      </c>
      <c r="C37" s="135" t="inlineStr">
        <is>
          <t>BAJA</t>
        </is>
      </c>
      <c r="D37" s="130" t="inlineStr">
        <is>
          <t>C</t>
        </is>
      </c>
      <c r="E37" s="452">
        <f>+'SITUACION COMERCIAL'!AB44</f>
        <v/>
      </c>
      <c r="F37" s="453">
        <f>IF('SITUACION COMERCIAL'!A44="RESERVADO",'SITUACION COMERCIAL'!S44,0)</f>
        <v/>
      </c>
      <c r="G37" s="456" t="inlineStr">
        <is>
          <t>HABITAT</t>
        </is>
      </c>
      <c r="H37" s="456">
        <f>IF(G37="HABITAT",F37*0.025,F37*0.02)</f>
        <v/>
      </c>
      <c r="I37" s="595">
        <f>+H37/F37</f>
        <v/>
      </c>
      <c r="J37" s="483">
        <f>IF('SITUACION COMERCIAL'!A44="RESERVADO",H37/2,0)</f>
        <v/>
      </c>
      <c r="K37" s="456" t="n">
        <v>1535.625</v>
      </c>
      <c r="L37" s="457" t="n">
        <v>1535.625</v>
      </c>
      <c r="M37" s="265" t="n"/>
      <c r="N37" s="458" t="n"/>
      <c r="O37" s="458" t="n"/>
      <c r="P37" s="458" t="n"/>
      <c r="Q37" s="458" t="n"/>
      <c r="R37" s="458" t="n"/>
      <c r="S37" s="458" t="n"/>
      <c r="T37" s="458" t="n"/>
      <c r="U37" s="458">
        <f>SUM(K37:T37)</f>
        <v/>
      </c>
      <c r="V37" s="265">
        <f>+J37-K37-L37-M37-N37-O37-P37-T37-Q37-R37-S37</f>
        <v/>
      </c>
      <c r="W37" s="477">
        <f>+H37-U37</f>
        <v/>
      </c>
      <c r="X37" s="459" t="inlineStr">
        <is>
          <t>CLAUDIO BORREGO DOMÍNGUEZ</t>
        </is>
      </c>
      <c r="Y37" s="460" t="n"/>
    </row>
    <row r="38" ht="18" customHeight="1">
      <c r="A38" s="128">
        <f>+A37+1</f>
        <v/>
      </c>
      <c r="B38" s="129" t="n">
        <v>2</v>
      </c>
      <c r="C38" s="135" t="inlineStr">
        <is>
          <t>BAJA</t>
        </is>
      </c>
      <c r="D38" s="131" t="inlineStr">
        <is>
          <t>D</t>
        </is>
      </c>
      <c r="E38" s="452">
        <f>+'SITUACION COMERCIAL'!AB45</f>
        <v/>
      </c>
      <c r="F38" s="453">
        <f>IF('SITUACION COMERCIAL'!A45="RESERVADO",'SITUACION COMERCIAL'!S45,0)</f>
        <v/>
      </c>
      <c r="G38" s="456" t="inlineStr">
        <is>
          <t>HABITAT</t>
        </is>
      </c>
      <c r="H38" s="462">
        <f>IF(G38="HABITAT",F38*0.025,F38*0.02)</f>
        <v/>
      </c>
      <c r="I38" s="595">
        <f>+H38/F38</f>
        <v/>
      </c>
      <c r="J38" s="483">
        <f>IF('SITUACION COMERCIAL'!A45="RESERVADO",H38/2,0)</f>
        <v/>
      </c>
      <c r="K38" s="456" t="n"/>
      <c r="L38" s="457" t="n"/>
      <c r="M38" s="265" t="n"/>
      <c r="N38" s="458" t="n"/>
      <c r="O38" s="458" t="n"/>
      <c r="P38" s="458" t="n"/>
      <c r="Q38" s="458" t="n"/>
      <c r="R38" s="458" t="n"/>
      <c r="S38" s="458" t="n"/>
      <c r="T38" s="458" t="n"/>
      <c r="U38" s="458">
        <f>SUM(K38:T38)</f>
        <v/>
      </c>
      <c r="V38" s="265">
        <f>+J38-K38-L38-M38-N38-O38-P38-T38-Q38-R38-S38</f>
        <v/>
      </c>
      <c r="W38" s="477">
        <f>+H38-U38</f>
        <v/>
      </c>
      <c r="X38" s="459" t="n"/>
      <c r="Y38" s="460" t="n"/>
    </row>
    <row r="39" ht="18" customHeight="1" thickBot="1">
      <c r="A39" s="137">
        <f>+A38+1</f>
        <v/>
      </c>
      <c r="B39" s="138" t="n">
        <v>2</v>
      </c>
      <c r="C39" s="139" t="inlineStr">
        <is>
          <t>BAJA</t>
        </is>
      </c>
      <c r="D39" s="140" t="inlineStr">
        <is>
          <t>E</t>
        </is>
      </c>
      <c r="E39" s="452">
        <f>+'SITUACION COMERCIAL'!AB46</f>
        <v/>
      </c>
      <c r="F39" s="453">
        <f>IF('SITUACION COMERCIAL'!A46="RESERVADO",'SITUACION COMERCIAL'!S46,0)</f>
        <v/>
      </c>
      <c r="G39" s="456" t="inlineStr">
        <is>
          <t>HABITAT</t>
        </is>
      </c>
      <c r="H39" s="456">
        <f>IF(G39="HABITAT",F39*0.025,F39*0.02)</f>
        <v/>
      </c>
      <c r="I39" s="595">
        <f>+H39/F39</f>
        <v/>
      </c>
      <c r="J39" s="483">
        <f>IF('SITUACION COMERCIAL'!A46="RESERVADO",H39/2,0)</f>
        <v/>
      </c>
      <c r="K39" s="456" t="n">
        <v>1523.125</v>
      </c>
      <c r="L39" s="457" t="n">
        <v>1785.625</v>
      </c>
      <c r="M39" s="265" t="n"/>
      <c r="N39" s="458" t="n"/>
      <c r="O39" s="458" t="n"/>
      <c r="P39" s="458" t="n"/>
      <c r="Q39" s="458" t="n"/>
      <c r="R39" s="458" t="n"/>
      <c r="S39" s="458" t="n"/>
      <c r="T39" s="458" t="n"/>
      <c r="U39" s="458">
        <f>SUM(K39:T39)</f>
        <v/>
      </c>
      <c r="V39" s="265">
        <f>+J39-K39-L39-M39-N39-O39-P39-T39-Q39-R39-S39</f>
        <v/>
      </c>
      <c r="W39" s="477">
        <f>+H39-U39</f>
        <v/>
      </c>
      <c r="X39" s="459" t="inlineStr">
        <is>
          <t>ANTONIO MURIEL VADILLO</t>
        </is>
      </c>
      <c r="Y39" s="460" t="n"/>
    </row>
    <row r="40" ht="18" customHeight="1">
      <c r="A40" s="145">
        <f>+A39+1</f>
        <v/>
      </c>
      <c r="B40" s="122" t="n">
        <v>2</v>
      </c>
      <c r="C40" s="123" t="n">
        <v>1</v>
      </c>
      <c r="D40" s="123" t="inlineStr">
        <is>
          <t>A</t>
        </is>
      </c>
      <c r="E40" s="452">
        <f>+'SITUACION COMERCIAL'!AB47</f>
        <v/>
      </c>
      <c r="F40" s="453">
        <f>IF('SITUACION COMERCIAL'!A47="RESERVADO",'SITUACION COMERCIAL'!S47,0)</f>
        <v/>
      </c>
      <c r="G40" s="456" t="inlineStr">
        <is>
          <t>HABITAT</t>
        </is>
      </c>
      <c r="H40" s="456">
        <f>IF(G40="HABITAT",F40*0.025,F40*0.02)</f>
        <v/>
      </c>
      <c r="I40" s="595">
        <f>+H40/F40</f>
        <v/>
      </c>
      <c r="J40" s="483">
        <f>IF('SITUACION COMERCIAL'!A47="RESERVADO",H40/2,0)</f>
        <v/>
      </c>
      <c r="K40" s="456" t="n">
        <v>0</v>
      </c>
      <c r="L40" s="457" t="n">
        <v>4700</v>
      </c>
      <c r="M40" s="265" t="n"/>
      <c r="N40" s="458" t="n"/>
      <c r="O40" s="458" t="n"/>
      <c r="P40" s="458" t="n"/>
      <c r="Q40" s="458" t="n"/>
      <c r="R40" s="458" t="n"/>
      <c r="S40" s="458" t="n"/>
      <c r="T40" s="458" t="n"/>
      <c r="U40" s="458">
        <f>SUM(K40:T40)</f>
        <v/>
      </c>
      <c r="V40" s="265">
        <f>+J40-K40-L40-M40-N40-O40-P40-T40-Q40-R40-S40</f>
        <v/>
      </c>
      <c r="W40" s="477">
        <f>+H40-U40</f>
        <v/>
      </c>
      <c r="X40" s="459" t="inlineStr">
        <is>
          <t>CARMEN VICTORIA ROJAS MORENO</t>
        </is>
      </c>
      <c r="Y40" s="460" t="n"/>
    </row>
    <row r="41" ht="18" customHeight="1">
      <c r="A41" s="147">
        <f>+A40+1</f>
        <v/>
      </c>
      <c r="B41" s="148" t="n">
        <v>2</v>
      </c>
      <c r="C41" s="131" t="n">
        <v>1</v>
      </c>
      <c r="D41" s="131" t="inlineStr">
        <is>
          <t>B</t>
        </is>
      </c>
      <c r="E41" s="452">
        <f>+'SITUACION COMERCIAL'!AB48</f>
        <v/>
      </c>
      <c r="F41" s="453">
        <f>IF('SITUACION COMERCIAL'!A48="RESERVADO",'SITUACION COMERCIAL'!S48,0)</f>
        <v/>
      </c>
      <c r="G41" s="456" t="inlineStr">
        <is>
          <t>HABITAT</t>
        </is>
      </c>
      <c r="H41" s="456">
        <f>IF(G41="HABITAT",F41*0.025,F41*0.02)</f>
        <v/>
      </c>
      <c r="I41" s="595">
        <f>+H41/F41</f>
        <v/>
      </c>
      <c r="J41" s="483">
        <f>IF('SITUACION COMERCIAL'!A48="RESERVADO",H41/2,0)</f>
        <v/>
      </c>
      <c r="K41" s="456" t="n">
        <v>1780.625</v>
      </c>
      <c r="L41" s="457" t="n">
        <v>1780.625</v>
      </c>
      <c r="M41" s="265" t="n"/>
      <c r="N41" s="458" t="n"/>
      <c r="O41" s="458" t="n"/>
      <c r="P41" s="458" t="n"/>
      <c r="Q41" s="458" t="n"/>
      <c r="R41" s="458" t="n"/>
      <c r="S41" s="458" t="n"/>
      <c r="T41" s="458" t="n"/>
      <c r="U41" s="458">
        <f>SUM(K41:T41)</f>
        <v/>
      </c>
      <c r="V41" s="265">
        <f>+J41-K41-L41-M41-N41-O41-P41-T41-Q41-R41-S41</f>
        <v/>
      </c>
      <c r="W41" s="477">
        <f>+H41-U41</f>
        <v/>
      </c>
      <c r="X41" s="459" t="inlineStr">
        <is>
          <t>JOSE MANUEL ROSON JIMENEZ</t>
        </is>
      </c>
      <c r="Y41" s="460" t="n"/>
    </row>
    <row r="42" ht="18" customHeight="1">
      <c r="A42" s="128">
        <f>+A41+1</f>
        <v/>
      </c>
      <c r="B42" s="129" t="n">
        <v>2</v>
      </c>
      <c r="C42" s="135" t="n">
        <v>1</v>
      </c>
      <c r="D42" s="130" t="inlineStr">
        <is>
          <t>C</t>
        </is>
      </c>
      <c r="E42" s="452">
        <f>+'SITUACION COMERCIAL'!AB49</f>
        <v/>
      </c>
      <c r="F42" s="453">
        <f>IF('SITUACION COMERCIAL'!A49="RESERVADO",'SITUACION COMERCIAL'!S49,0)</f>
        <v/>
      </c>
      <c r="G42" s="456" t="inlineStr">
        <is>
          <t>HABITAT</t>
        </is>
      </c>
      <c r="H42" s="456">
        <f>IF(G42="HABITAT",F42*0.025,F42*0.02)</f>
        <v/>
      </c>
      <c r="I42" s="595">
        <f>+H42/F42</f>
        <v/>
      </c>
      <c r="J42" s="483">
        <f>IF('SITUACION COMERCIAL'!A49="RESERVADO",H42/2,0)</f>
        <v/>
      </c>
      <c r="K42" s="456" t="n">
        <v>0</v>
      </c>
      <c r="L42" s="457" t="n">
        <v>2868.75</v>
      </c>
      <c r="M42" s="265" t="n"/>
      <c r="N42" s="458" t="n"/>
      <c r="O42" s="458" t="n"/>
      <c r="P42" s="458" t="n"/>
      <c r="Q42" s="458" t="n"/>
      <c r="R42" s="458" t="n"/>
      <c r="S42" s="458" t="n"/>
      <c r="T42" s="458" t="n"/>
      <c r="U42" s="458">
        <f>SUM(K42:T42)</f>
        <v/>
      </c>
      <c r="V42" s="265">
        <f>+J42-K42-L42-M42-N42-O42-P42-T42-Q42-R42-S42</f>
        <v/>
      </c>
      <c r="W42" s="477">
        <f>+H42-U42</f>
        <v/>
      </c>
      <c r="X42" s="459" t="inlineStr">
        <is>
          <t>ANTONIO MANUEL PEREZ FERNANDEZ</t>
        </is>
      </c>
      <c r="Y42" s="460" t="n"/>
    </row>
    <row r="43" ht="18" customHeight="1">
      <c r="A43" s="128">
        <f>+A42+1</f>
        <v/>
      </c>
      <c r="B43" s="129" t="n">
        <v>2</v>
      </c>
      <c r="C43" s="130" t="n">
        <v>1</v>
      </c>
      <c r="D43" s="130" t="inlineStr">
        <is>
          <t>D</t>
        </is>
      </c>
      <c r="E43" s="452">
        <f>+'SITUACION COMERCIAL'!AB50</f>
        <v/>
      </c>
      <c r="F43" s="453">
        <f>IF('SITUACION COMERCIAL'!A50="RESERVADO",'SITUACION COMERCIAL'!S50,0)</f>
        <v/>
      </c>
      <c r="G43" s="456" t="inlineStr">
        <is>
          <t>HABITAT</t>
        </is>
      </c>
      <c r="H43" s="456">
        <f>IF(G43="HABITAT",F43*0.025,F43*0.02)</f>
        <v/>
      </c>
      <c r="I43" s="595">
        <f>+H43/F43</f>
        <v/>
      </c>
      <c r="J43" s="483">
        <f>IF('SITUACION COMERCIAL'!A50="RESERVADO",H43/2,0)</f>
        <v/>
      </c>
      <c r="K43" s="456" t="n">
        <v>993.75</v>
      </c>
      <c r="L43" s="457" t="n">
        <v>993.75</v>
      </c>
      <c r="M43" s="265" t="n"/>
      <c r="N43" s="458" t="n"/>
      <c r="O43" s="458" t="n"/>
      <c r="P43" s="458" t="n"/>
      <c r="Q43" s="458" t="n"/>
      <c r="R43" s="458" t="n"/>
      <c r="S43" s="458" t="n"/>
      <c r="T43" s="458" t="n"/>
      <c r="U43" s="458">
        <f>SUM(K43:T43)</f>
        <v/>
      </c>
      <c r="V43" s="265">
        <f>+J43-K43-L43-M43-N43-O43-P43-T43-Q43-R43-S43</f>
        <v/>
      </c>
      <c r="W43" s="477">
        <f>+H43-U43</f>
        <v/>
      </c>
      <c r="X43" s="459" t="inlineStr">
        <is>
          <t>FERNANDO LIMA LINEROS</t>
        </is>
      </c>
      <c r="Y43" s="460" t="n"/>
    </row>
    <row r="44" ht="18" customHeight="1" thickBot="1">
      <c r="A44" s="137">
        <f>+A43+1</f>
        <v/>
      </c>
      <c r="B44" s="138" t="n">
        <v>2</v>
      </c>
      <c r="C44" s="151" t="n">
        <v>1</v>
      </c>
      <c r="D44" s="140" t="inlineStr">
        <is>
          <t>E</t>
        </is>
      </c>
      <c r="E44" s="452">
        <f>+'SITUACION COMERCIAL'!AB51</f>
        <v/>
      </c>
      <c r="F44" s="453">
        <f>IF('SITUACION COMERCIAL'!A51="RESERVADO",'SITUACION COMERCIAL'!S51,0)</f>
        <v/>
      </c>
      <c r="G44" s="456" t="inlineStr">
        <is>
          <t>HABITAT</t>
        </is>
      </c>
      <c r="H44" s="456">
        <f>IF(G44="HABITAT",F44*0.025,F44*0.02)</f>
        <v/>
      </c>
      <c r="I44" s="595" t="n">
        <v>0.025</v>
      </c>
      <c r="J44" s="483">
        <f>IF('SITUACION COMERCIAL'!A51="RESERVADO",H44/2,0)</f>
        <v/>
      </c>
      <c r="K44" s="456" t="n"/>
      <c r="L44" s="457" t="n"/>
      <c r="M44" s="265" t="n"/>
      <c r="N44" s="458" t="n">
        <v>2886.25</v>
      </c>
      <c r="O44" s="458" t="n"/>
      <c r="P44" s="458" t="n"/>
      <c r="Q44" s="458" t="n"/>
      <c r="R44" s="458" t="n"/>
      <c r="S44" s="458" t="n"/>
      <c r="T44" s="458" t="n"/>
      <c r="U44" s="458">
        <f>SUM(K44:T44)</f>
        <v/>
      </c>
      <c r="V44" s="265">
        <f>+J44-K44-L44-M44-N44-O44-P44-T44-Q44-R44-S44</f>
        <v/>
      </c>
      <c r="W44" s="477">
        <f>+H44-U44</f>
        <v/>
      </c>
      <c r="X44" s="459" t="n"/>
      <c r="Y44" s="460" t="n"/>
    </row>
    <row r="45" ht="18" customHeight="1">
      <c r="A45" s="147">
        <f>+A44+1</f>
        <v/>
      </c>
      <c r="B45" s="148" t="n">
        <v>2</v>
      </c>
      <c r="C45" s="131" t="n">
        <v>2</v>
      </c>
      <c r="D45" s="131" t="inlineStr">
        <is>
          <t>A</t>
        </is>
      </c>
      <c r="E45" s="452">
        <f>+'SITUACION COMERCIAL'!AB52</f>
        <v/>
      </c>
      <c r="F45" s="453">
        <f>IF('SITUACION COMERCIAL'!A52="RESERVADO",'SITUACION COMERCIAL'!S52,0)</f>
        <v/>
      </c>
      <c r="G45" s="456" t="inlineStr">
        <is>
          <t>HABITAT</t>
        </is>
      </c>
      <c r="H45" s="456">
        <f>IF(G45="HABITAT",F45*0.025,F45*0.02)</f>
        <v/>
      </c>
      <c r="I45" s="595">
        <f>+H45/F45</f>
        <v/>
      </c>
      <c r="J45" s="483">
        <f>IF('SITUACION COMERCIAL'!A52="RESERVADO",H45/2,0)</f>
        <v/>
      </c>
      <c r="K45" s="456" t="n">
        <v>2287.5</v>
      </c>
      <c r="L45" s="457" t="n">
        <v>2287.5</v>
      </c>
      <c r="M45" s="265" t="n"/>
      <c r="N45" s="458" t="n"/>
      <c r="O45" s="458" t="n"/>
      <c r="P45" s="458" t="n"/>
      <c r="Q45" s="458" t="n"/>
      <c r="R45" s="458" t="n"/>
      <c r="S45" s="458" t="n"/>
      <c r="T45" s="458" t="n"/>
      <c r="U45" s="458">
        <f>SUM(K45:T45)</f>
        <v/>
      </c>
      <c r="V45" s="265">
        <f>+J45-K45-L45-M45-N45-O45-P45-T45-Q45-R45-S45</f>
        <v/>
      </c>
      <c r="W45" s="477">
        <f>+H45-U45</f>
        <v/>
      </c>
      <c r="X45" s="459" t="inlineStr">
        <is>
          <t>ALVARO MARTIN DEL POZO</t>
        </is>
      </c>
      <c r="Y45" s="460" t="n"/>
    </row>
    <row r="46" ht="18" customHeight="1">
      <c r="A46" s="147">
        <f>+A45+1</f>
        <v/>
      </c>
      <c r="B46" s="148" t="n">
        <v>2</v>
      </c>
      <c r="C46" s="156" t="n">
        <v>2</v>
      </c>
      <c r="D46" s="157" t="inlineStr">
        <is>
          <t>B</t>
        </is>
      </c>
      <c r="E46" s="452">
        <f>+'SITUACION COMERCIAL'!AB53</f>
        <v/>
      </c>
      <c r="F46" s="453">
        <f>IF('SITUACION COMERCIAL'!A53="RESERVADO",'SITUACION COMERCIAL'!S53,0)</f>
        <v/>
      </c>
      <c r="G46" s="456" t="inlineStr">
        <is>
          <t>HABITAT</t>
        </is>
      </c>
      <c r="H46" s="456">
        <f>IF(G46="HABITAT",F46*0.025,F46*0.02)</f>
        <v/>
      </c>
      <c r="I46" s="595">
        <f>+H46/F46</f>
        <v/>
      </c>
      <c r="J46" s="483">
        <f>IF('SITUACION COMERCIAL'!A53="RESERVADO",H46/2,0)</f>
        <v/>
      </c>
      <c r="K46" s="456" t="n">
        <v>1787.5</v>
      </c>
      <c r="L46" s="457" t="n">
        <v>1787.5</v>
      </c>
      <c r="M46" s="265" t="n"/>
      <c r="N46" s="458" t="n"/>
      <c r="O46" s="458" t="n"/>
      <c r="P46" s="458" t="n"/>
      <c r="Q46" s="458" t="n"/>
      <c r="R46" s="458" t="n"/>
      <c r="S46" s="458" t="n"/>
      <c r="T46" s="458" t="n"/>
      <c r="U46" s="458">
        <f>SUM(K46:T46)</f>
        <v/>
      </c>
      <c r="V46" s="265">
        <f>+J46-K46-L46-M46-N46-O46-P46-T46-Q46-R46-S46</f>
        <v/>
      </c>
      <c r="W46" s="477">
        <f>+H46-U46</f>
        <v/>
      </c>
      <c r="X46" s="459" t="inlineStr">
        <is>
          <t>ANGEL ANDERICA AREVALO</t>
        </is>
      </c>
      <c r="Y46" s="460" t="n"/>
    </row>
    <row r="47" ht="18" customHeight="1">
      <c r="A47" s="159">
        <f>+A46+1</f>
        <v/>
      </c>
      <c r="B47" s="160" t="n">
        <v>2</v>
      </c>
      <c r="C47" s="161" t="n">
        <v>2</v>
      </c>
      <c r="D47" s="162" t="inlineStr">
        <is>
          <t>C</t>
        </is>
      </c>
      <c r="E47" s="452">
        <f>+'SITUACION COMERCIAL'!AB54</f>
        <v/>
      </c>
      <c r="F47" s="453">
        <f>IF('SITUACION COMERCIAL'!A54="RESERVADO",'SITUACION COMERCIAL'!S54,0)</f>
        <v/>
      </c>
      <c r="G47" s="456" t="inlineStr">
        <is>
          <t>HABITAT</t>
        </is>
      </c>
      <c r="H47" s="456">
        <f>IF(G47="HABITAT",F47*0.025,F47*0.02)</f>
        <v/>
      </c>
      <c r="I47" s="595">
        <f>+H47/F47</f>
        <v/>
      </c>
      <c r="J47" s="483">
        <f>IF('SITUACION COMERCIAL'!A54="RESERVADO",H47/2,0)</f>
        <v/>
      </c>
      <c r="K47" s="456" t="n"/>
      <c r="L47" s="457" t="n"/>
      <c r="M47" s="265" t="n">
        <v>2906.25</v>
      </c>
      <c r="N47" s="458" t="n"/>
      <c r="O47" s="458" t="n"/>
      <c r="P47" s="458" t="n"/>
      <c r="Q47" s="458" t="n"/>
      <c r="R47" s="458" t="n"/>
      <c r="S47" s="458" t="n"/>
      <c r="T47" s="458" t="n"/>
      <c r="U47" s="458">
        <f>SUM(K47:T47)</f>
        <v/>
      </c>
      <c r="V47" s="265">
        <f>+J47-K47-L47-M47-N47-O47-P47-T47-Q47-R47-S47</f>
        <v/>
      </c>
      <c r="W47" s="477">
        <f>+H47-U47</f>
        <v/>
      </c>
      <c r="X47" s="459" t="inlineStr">
        <is>
          <t>MARIA JOSE MERINO PIEDEHIERRO</t>
        </is>
      </c>
      <c r="Y47" s="460" t="n"/>
    </row>
    <row r="48" ht="18" customHeight="1">
      <c r="A48" s="128">
        <f>+A47+1</f>
        <v/>
      </c>
      <c r="B48" s="129" t="n">
        <v>2</v>
      </c>
      <c r="C48" s="135" t="n">
        <v>2</v>
      </c>
      <c r="D48" s="130" t="inlineStr">
        <is>
          <t>D</t>
        </is>
      </c>
      <c r="E48" s="452">
        <f>+'SITUACION COMERCIAL'!AB55</f>
        <v/>
      </c>
      <c r="F48" s="453">
        <f>IF('SITUACION COMERCIAL'!A55="RESERVADO",'SITUACION COMERCIAL'!S55,0)</f>
        <v/>
      </c>
      <c r="G48" s="456" t="inlineStr">
        <is>
          <t>HABITAT</t>
        </is>
      </c>
      <c r="H48" s="456">
        <f>IF(G48="HABITAT",F48*0.025,F48*0.02)</f>
        <v/>
      </c>
      <c r="I48" s="595">
        <f>+H48/F48</f>
        <v/>
      </c>
      <c r="J48" s="483">
        <f>IF('SITUACION COMERCIAL'!A55="RESERVADO",H48/2,0)</f>
        <v/>
      </c>
      <c r="K48" s="456" t="n">
        <v>979.375</v>
      </c>
      <c r="L48" s="457" t="n">
        <v>979.375</v>
      </c>
      <c r="M48" s="265" t="n"/>
      <c r="N48" s="458" t="n"/>
      <c r="O48" s="458" t="n"/>
      <c r="P48" s="458" t="n"/>
      <c r="Q48" s="458" t="n"/>
      <c r="R48" s="458" t="n"/>
      <c r="S48" s="458" t="n"/>
      <c r="T48" s="458" t="n"/>
      <c r="U48" s="458">
        <f>SUM(K48:T48)</f>
        <v/>
      </c>
      <c r="V48" s="265">
        <f>+J48-K48-L48-M48-N48-O48-P48-T48-Q48-R48-S48</f>
        <v/>
      </c>
      <c r="W48" s="477">
        <f>+H48-U48</f>
        <v/>
      </c>
      <c r="X48" s="459" t="inlineStr">
        <is>
          <t>MARIA DOLORES MERINO GARRIDO</t>
        </is>
      </c>
      <c r="Y48" s="460" t="n"/>
    </row>
    <row r="49" ht="18" customHeight="1" thickBot="1">
      <c r="A49" s="137">
        <f>+A48+1</f>
        <v/>
      </c>
      <c r="B49" s="138" t="n">
        <v>2</v>
      </c>
      <c r="C49" s="139" t="n">
        <v>2</v>
      </c>
      <c r="D49" s="140" t="inlineStr">
        <is>
          <t>E</t>
        </is>
      </c>
      <c r="E49" s="452">
        <f>+'SITUACION COMERCIAL'!AB56</f>
        <v/>
      </c>
      <c r="F49" s="453">
        <f>IF('SITUACION COMERCIAL'!A56="RESERVADO",'SITUACION COMERCIAL'!S56,0)</f>
        <v/>
      </c>
      <c r="G49" s="456" t="inlineStr">
        <is>
          <t>HABITAT</t>
        </is>
      </c>
      <c r="H49" s="456">
        <f>IF(G49="HABITAT",F49*0.025,F49*0.02)</f>
        <v/>
      </c>
      <c r="I49" s="595">
        <f>+H49/F49</f>
        <v/>
      </c>
      <c r="J49" s="483">
        <f>IF('SITUACION COMERCIAL'!A56="RESERVADO",H49/2,0)</f>
        <v/>
      </c>
      <c r="K49" s="456" t="n">
        <v>1406.25</v>
      </c>
      <c r="L49" s="457" t="n">
        <v>1406.25</v>
      </c>
      <c r="M49" s="265" t="n"/>
      <c r="N49" s="458" t="n"/>
      <c r="O49" s="458" t="n"/>
      <c r="P49" s="458" t="n"/>
      <c r="Q49" s="458" t="n"/>
      <c r="R49" s="458" t="n"/>
      <c r="S49" s="458" t="n"/>
      <c r="T49" s="458" t="n"/>
      <c r="U49" s="458">
        <f>SUM(K49:T49)</f>
        <v/>
      </c>
      <c r="V49" s="265">
        <f>+J49-K49-L49-M49-N49-O49-P49-T49-Q49-R49-S49</f>
        <v/>
      </c>
      <c r="W49" s="477">
        <f>+H49-U49</f>
        <v/>
      </c>
      <c r="X49" s="459" t="inlineStr">
        <is>
          <t>JUAN JOSE GALLARDO ARCOS</t>
        </is>
      </c>
      <c r="Y49" s="460" t="n"/>
    </row>
    <row r="50" ht="18" customHeight="1">
      <c r="A50" s="168">
        <f>+A49+1</f>
        <v/>
      </c>
      <c r="B50" s="169" t="n">
        <v>2</v>
      </c>
      <c r="C50" s="156" t="n">
        <v>3</v>
      </c>
      <c r="D50" s="170" t="inlineStr">
        <is>
          <t>A</t>
        </is>
      </c>
      <c r="E50" s="452">
        <f>+'SITUACION COMERCIAL'!AB57</f>
        <v/>
      </c>
      <c r="F50" s="453">
        <f>IF('SITUACION COMERCIAL'!A57="RESERVADO",'SITUACION COMERCIAL'!S57,0)</f>
        <v/>
      </c>
      <c r="G50" s="456" t="inlineStr">
        <is>
          <t>HABITAT</t>
        </is>
      </c>
      <c r="H50" s="456">
        <f>IF(G50="HABITAT",F50*0.025,F50*0.02)</f>
        <v/>
      </c>
      <c r="I50" s="595">
        <f>+H50/F50</f>
        <v/>
      </c>
      <c r="J50" s="483">
        <f>IF('SITUACION COMERCIAL'!A57="RESERVADO",H50/2,0)</f>
        <v/>
      </c>
      <c r="K50" s="456" t="n">
        <v>2181.25</v>
      </c>
      <c r="L50" s="457" t="n">
        <v>2206.25</v>
      </c>
      <c r="M50" s="265" t="n"/>
      <c r="N50" s="458" t="n"/>
      <c r="O50" s="458" t="n"/>
      <c r="P50" s="458" t="n"/>
      <c r="Q50" s="458" t="n"/>
      <c r="R50" s="458" t="n"/>
      <c r="S50" s="458" t="n"/>
      <c r="T50" s="458" t="n"/>
      <c r="U50" s="458">
        <f>SUM(K50:T50)</f>
        <v/>
      </c>
      <c r="V50" s="265">
        <f>+J50-K50-L50-M50-N50-O50-P50-T50-Q50-R50-S50</f>
        <v/>
      </c>
      <c r="W50" s="477">
        <f>+H50-U50</f>
        <v/>
      </c>
      <c r="X50" s="459" t="inlineStr">
        <is>
          <t>MANUEL DURAN GARCIA</t>
        </is>
      </c>
      <c r="Y50" s="460" t="n"/>
    </row>
    <row r="51" ht="18" customHeight="1">
      <c r="A51" s="168">
        <f>+A50+1</f>
        <v/>
      </c>
      <c r="B51" s="169" t="n">
        <v>2</v>
      </c>
      <c r="C51" s="156" t="n">
        <v>3</v>
      </c>
      <c r="D51" s="170" t="inlineStr">
        <is>
          <t>B</t>
        </is>
      </c>
      <c r="E51" s="452">
        <f>+'SITUACION COMERCIAL'!AB58</f>
        <v/>
      </c>
      <c r="F51" s="453">
        <f>IF('SITUACION COMERCIAL'!A58="RESERVADO",'SITUACION COMERCIAL'!S58,0)</f>
        <v/>
      </c>
      <c r="G51" s="456" t="inlineStr">
        <is>
          <t>HABITAT</t>
        </is>
      </c>
      <c r="H51" s="456">
        <f>IF(G51="HABITAT",F51*0.025,F51*0.02)</f>
        <v/>
      </c>
      <c r="I51" s="595">
        <f>+H51/F51</f>
        <v/>
      </c>
      <c r="J51" s="483">
        <f>IF('SITUACION COMERCIAL'!A58="RESERVADO",H51/2,0)</f>
        <v/>
      </c>
      <c r="K51" s="456" t="n">
        <v>1837.5</v>
      </c>
      <c r="L51" s="457" t="n">
        <v>1837.5</v>
      </c>
      <c r="M51" s="265" t="n"/>
      <c r="N51" s="458" t="n"/>
      <c r="O51" s="458" t="n"/>
      <c r="P51" s="458" t="n"/>
      <c r="Q51" s="458" t="n"/>
      <c r="R51" s="458" t="n"/>
      <c r="S51" s="458" t="n"/>
      <c r="T51" s="458" t="n"/>
      <c r="U51" s="458">
        <f>SUM(K51:T51)</f>
        <v/>
      </c>
      <c r="V51" s="265">
        <f>+J51-K51-L51-M51-N51-O51-P51-T51-Q51-R51-S51</f>
        <v/>
      </c>
      <c r="W51" s="477">
        <f>+H51-U51</f>
        <v/>
      </c>
      <c r="X51" s="459" t="inlineStr">
        <is>
          <t>ANGEL CARRION AGUILERA</t>
        </is>
      </c>
      <c r="Y51" s="460" t="n"/>
    </row>
    <row r="52" ht="18" customHeight="1">
      <c r="A52" s="171">
        <f>+A51+1</f>
        <v/>
      </c>
      <c r="B52" s="129" t="n">
        <v>2</v>
      </c>
      <c r="C52" s="135" t="n">
        <v>3</v>
      </c>
      <c r="D52" s="130" t="inlineStr">
        <is>
          <t>C</t>
        </is>
      </c>
      <c r="E52" s="452">
        <f>+'SITUACION COMERCIAL'!AB59</f>
        <v/>
      </c>
      <c r="F52" s="453">
        <f>IF('SITUACION COMERCIAL'!A59="RESERVADO",'SITUACION COMERCIAL'!S59,0)</f>
        <v/>
      </c>
      <c r="G52" s="472" t="inlineStr">
        <is>
          <t>EDETICA</t>
        </is>
      </c>
      <c r="H52" s="456">
        <f>IF(G52="HABITAT",F52*0.025,F52*0.02)</f>
        <v/>
      </c>
      <c r="I52" s="597">
        <f>+H52/F52</f>
        <v/>
      </c>
      <c r="J52" s="483">
        <f>IF('SITUACION COMERCIAL'!A59="RESERVADO",H52/2,0)</f>
        <v/>
      </c>
      <c r="K52" s="456" t="n">
        <v>1160</v>
      </c>
      <c r="L52" s="457" t="n">
        <v>1160</v>
      </c>
      <c r="M52" s="265" t="n"/>
      <c r="N52" s="458" t="n"/>
      <c r="O52" s="458" t="n"/>
      <c r="P52" s="458" t="n"/>
      <c r="Q52" s="458" t="n"/>
      <c r="R52" s="458" t="n"/>
      <c r="S52" s="458" t="n"/>
      <c r="T52" s="458" t="n"/>
      <c r="U52" s="458">
        <f>SUM(K52:T52)</f>
        <v/>
      </c>
      <c r="V52" s="265">
        <f>+J52-K52-L52-M52-N52-O52-P52-T52-Q52-R52-S52</f>
        <v/>
      </c>
      <c r="W52" s="477">
        <f>+H52-U52</f>
        <v/>
      </c>
      <c r="X52" s="459" t="inlineStr">
        <is>
          <t>JOSE DIEGO HIDALGO DOMINGUEZ</t>
        </is>
      </c>
      <c r="Y52" s="460" t="n"/>
    </row>
    <row r="53" ht="18" customHeight="1">
      <c r="A53" s="128">
        <f>+A52+1</f>
        <v/>
      </c>
      <c r="B53" s="129" t="n">
        <v>2</v>
      </c>
      <c r="C53" s="135" t="n">
        <v>3</v>
      </c>
      <c r="D53" s="130" t="inlineStr">
        <is>
          <t>D</t>
        </is>
      </c>
      <c r="E53" s="452">
        <f>+'SITUACION COMERCIAL'!AB60</f>
        <v/>
      </c>
      <c r="F53" s="453">
        <f>IF('SITUACION COMERCIAL'!A60="RESERVADO",'SITUACION COMERCIAL'!S60,0)</f>
        <v/>
      </c>
      <c r="G53" s="456" t="inlineStr">
        <is>
          <t>HABITAT</t>
        </is>
      </c>
      <c r="H53" s="456">
        <f>IF(G53="HABITAT",F53*0.025,F53*0.02)</f>
        <v/>
      </c>
      <c r="I53" s="595">
        <f>+H53/F53</f>
        <v/>
      </c>
      <c r="J53" s="483">
        <f>IF('SITUACION COMERCIAL'!A60="RESERVADO",H53/2,0)</f>
        <v/>
      </c>
      <c r="K53" s="456" t="n">
        <v>991.875</v>
      </c>
      <c r="L53" s="457" t="n">
        <v>991.875</v>
      </c>
      <c r="M53" s="265" t="n"/>
      <c r="N53" s="458" t="n"/>
      <c r="O53" s="458" t="n"/>
      <c r="P53" s="458" t="n"/>
      <c r="Q53" s="458" t="n"/>
      <c r="R53" s="458" t="n"/>
      <c r="S53" s="458" t="n"/>
      <c r="T53" s="458" t="n"/>
      <c r="U53" s="458">
        <f>SUM(K53:T53)</f>
        <v/>
      </c>
      <c r="V53" s="265">
        <f>+J53-K53-L53-M53-N53-O53-P53-T53-Q53-R53-S53</f>
        <v/>
      </c>
      <c r="W53" s="477">
        <f>+H53-U53</f>
        <v/>
      </c>
      <c r="X53" s="459" t="inlineStr">
        <is>
          <t>ALBERTO GARCIA SARDIÑA</t>
        </is>
      </c>
      <c r="Y53" s="460" t="n"/>
    </row>
    <row r="54" ht="18" customHeight="1" thickBot="1">
      <c r="A54" s="172">
        <f>+A53+1</f>
        <v/>
      </c>
      <c r="B54" s="173" t="n">
        <v>2</v>
      </c>
      <c r="C54" s="174" t="n">
        <v>3</v>
      </c>
      <c r="D54" s="175" t="inlineStr">
        <is>
          <t>E</t>
        </is>
      </c>
      <c r="E54" s="452">
        <f>+'SITUACION COMERCIAL'!AB61</f>
        <v/>
      </c>
      <c r="F54" s="453">
        <f>IF('SITUACION COMERCIAL'!A61="RESERVADO",'SITUACION COMERCIAL'!S61,0)</f>
        <v/>
      </c>
      <c r="G54" s="456" t="inlineStr">
        <is>
          <t>HABITAT</t>
        </is>
      </c>
      <c r="H54" s="456">
        <f>IF(G54="HABITAT",F54*0.025,F54*0.02)</f>
        <v/>
      </c>
      <c r="I54" s="595">
        <f>+H54/F54</f>
        <v/>
      </c>
      <c r="J54" s="483">
        <f>IF('SITUACION COMERCIAL'!A61="RESERVADO",H54/2,0)</f>
        <v/>
      </c>
      <c r="K54" s="456" t="n"/>
      <c r="L54" s="457" t="n">
        <v>2925</v>
      </c>
      <c r="M54" s="265" t="n"/>
      <c r="N54" s="458" t="n"/>
      <c r="O54" s="458" t="n"/>
      <c r="P54" s="458" t="n"/>
      <c r="Q54" s="458" t="n"/>
      <c r="R54" s="458" t="n"/>
      <c r="S54" s="458" t="n"/>
      <c r="T54" s="458" t="n"/>
      <c r="U54" s="458">
        <f>SUM(K54:T54)</f>
        <v/>
      </c>
      <c r="V54" s="265">
        <f>+J54-K54-L54-M54-N54-O54-P54-T54-Q54-R54-S54</f>
        <v/>
      </c>
      <c r="W54" s="477">
        <f>+H54-U54</f>
        <v/>
      </c>
      <c r="X54" s="459" t="inlineStr">
        <is>
          <t>FELIPA PEREZ CORRALES</t>
        </is>
      </c>
      <c r="Y54" s="460" t="n"/>
    </row>
    <row r="55" ht="18" customHeight="1">
      <c r="A55" s="16">
        <f>+A54+1</f>
        <v/>
      </c>
      <c r="B55" s="17" t="n">
        <v>3</v>
      </c>
      <c r="C55" s="183" t="inlineStr">
        <is>
          <t>BAJA</t>
        </is>
      </c>
      <c r="D55" s="18" t="inlineStr">
        <is>
          <t>A</t>
        </is>
      </c>
      <c r="E55" s="452">
        <f>+'SITUACION COMERCIAL'!AB62</f>
        <v/>
      </c>
      <c r="F55" s="453">
        <f>IF('SITUACION COMERCIAL'!A62="RESERVADO",'SITUACION COMERCIAL'!S62,0)</f>
        <v/>
      </c>
      <c r="G55" s="456" t="inlineStr">
        <is>
          <t>HABITAT</t>
        </is>
      </c>
      <c r="H55" s="456">
        <f>IF(G55="HABITAT",F55*0.025,F55*0.02)</f>
        <v/>
      </c>
      <c r="I55" s="595">
        <f>+H55/F55</f>
        <v/>
      </c>
      <c r="J55" s="483">
        <f>IF('SITUACION COMERCIAL'!A62="RESERVADO",H55/2,0)</f>
        <v/>
      </c>
      <c r="K55" s="456" t="n">
        <v>1533.75</v>
      </c>
      <c r="L55" s="457" t="n">
        <v>1533.75</v>
      </c>
      <c r="M55" s="265" t="n"/>
      <c r="N55" s="458" t="n"/>
      <c r="O55" s="458" t="n"/>
      <c r="P55" s="458" t="n"/>
      <c r="Q55" s="458" t="n"/>
      <c r="R55" s="458" t="n"/>
      <c r="S55" s="458" t="n"/>
      <c r="T55" s="458" t="n"/>
      <c r="U55" s="458">
        <f>SUM(K55:T55)</f>
        <v/>
      </c>
      <c r="V55" s="265">
        <f>+J55-K55-L55-M55-N55-O55-P55-T55-Q55-R55-S55</f>
        <v/>
      </c>
      <c r="W55" s="477">
        <f>+H55-U55</f>
        <v/>
      </c>
      <c r="X55" s="459" t="inlineStr">
        <is>
          <t>RICARDO ANTONIO SANCHEZ HERNANDEZ</t>
        </is>
      </c>
      <c r="Y55" s="460" t="n"/>
    </row>
    <row r="56" ht="18" customHeight="1">
      <c r="A56" s="34">
        <f>+A55+1</f>
        <v/>
      </c>
      <c r="B56" s="35" t="n">
        <v>3</v>
      </c>
      <c r="C56" s="186" t="inlineStr">
        <is>
          <t>BAJA</t>
        </is>
      </c>
      <c r="D56" s="100" t="inlineStr">
        <is>
          <t>B</t>
        </is>
      </c>
      <c r="E56" s="452">
        <f>+'SITUACION COMERCIAL'!AB63</f>
        <v/>
      </c>
      <c r="F56" s="453">
        <f>IF('SITUACION COMERCIAL'!A63="RESERVADO",'SITUACION COMERCIAL'!S63,0)</f>
        <v/>
      </c>
      <c r="G56" s="456" t="inlineStr">
        <is>
          <t>HABITAT</t>
        </is>
      </c>
      <c r="H56" s="462">
        <f>IF(G56="HABITAT",F56*0.025,F56*0.02)</f>
        <v/>
      </c>
      <c r="I56" s="595">
        <f>+H56/F56</f>
        <v/>
      </c>
      <c r="J56" s="483">
        <f>IF('SITUACION COMERCIAL'!A63="RESERVADO",H56/2,0)</f>
        <v/>
      </c>
      <c r="K56" s="464" t="n"/>
      <c r="L56" s="465" t="n"/>
      <c r="M56" s="466" t="n"/>
      <c r="N56" s="458" t="n"/>
      <c r="O56" s="458" t="n"/>
      <c r="P56" s="458" t="n"/>
      <c r="Q56" s="458" t="n"/>
      <c r="R56" s="458" t="n"/>
      <c r="S56" s="458" t="n"/>
      <c r="T56" s="458" t="n"/>
      <c r="U56" s="458">
        <f>SUM(K56:T56)-K56</f>
        <v/>
      </c>
      <c r="V56" s="265">
        <f>+J56-K56-L56-M56-N56-O56-P56-T56-Q56-R56-S56</f>
        <v/>
      </c>
      <c r="W56" s="477">
        <f>+H56-U56</f>
        <v/>
      </c>
      <c r="X56" s="467" t="n"/>
      <c r="Y56" s="468" t="n"/>
    </row>
    <row r="57" ht="18" customHeight="1">
      <c r="A57" s="34">
        <f>+A56+1</f>
        <v/>
      </c>
      <c r="B57" s="35" t="n">
        <v>3</v>
      </c>
      <c r="C57" s="186" t="inlineStr">
        <is>
          <t>BAJA</t>
        </is>
      </c>
      <c r="D57" s="100" t="inlineStr">
        <is>
          <t>C</t>
        </is>
      </c>
      <c r="E57" s="452">
        <f>+'SITUACION COMERCIAL'!AB64</f>
        <v/>
      </c>
      <c r="F57" s="453">
        <f>IF('SITUACION COMERCIAL'!A64="RESERVADO",'SITUACION COMERCIAL'!S64,0)</f>
        <v/>
      </c>
      <c r="G57" s="472" t="inlineStr">
        <is>
          <t>EDETICA</t>
        </is>
      </c>
      <c r="H57" s="456">
        <f>IF(G57="HABITAT",F57*0.025,F57*0.02)</f>
        <v/>
      </c>
      <c r="I57" s="597">
        <f>+H57/F57</f>
        <v/>
      </c>
      <c r="J57" s="483">
        <f>IF('SITUACION COMERCIAL'!A64="RESERVADO",H57/2,0)</f>
        <v/>
      </c>
      <c r="K57" s="456" t="n">
        <v>1536</v>
      </c>
      <c r="L57" s="457" t="n">
        <v>1536</v>
      </c>
      <c r="M57" s="265" t="n"/>
      <c r="N57" s="458" t="n"/>
      <c r="O57" s="458" t="n"/>
      <c r="P57" s="458" t="n"/>
      <c r="Q57" s="458" t="n"/>
      <c r="R57" s="458" t="n"/>
      <c r="S57" s="458" t="n"/>
      <c r="T57" s="458" t="n"/>
      <c r="U57" s="458">
        <f>SUM(K57:T57)</f>
        <v/>
      </c>
      <c r="V57" s="265">
        <f>+J57-K57-L57-M57-N57-O57-P57-T57-Q57-R57-S57</f>
        <v/>
      </c>
      <c r="W57" s="477">
        <f>+H57-U57</f>
        <v/>
      </c>
      <c r="X57" s="459" t="inlineStr">
        <is>
          <t>FELIX ARTURO MERA GALLARDO</t>
        </is>
      </c>
      <c r="Y57" s="460" t="n"/>
    </row>
    <row r="58" ht="18" customHeight="1" thickBot="1">
      <c r="A58" s="80">
        <f>+A57+1</f>
        <v/>
      </c>
      <c r="B58" s="81" t="n">
        <v>3</v>
      </c>
      <c r="C58" s="191" t="inlineStr">
        <is>
          <t>BAJA</t>
        </is>
      </c>
      <c r="D58" s="82" t="inlineStr">
        <is>
          <t>D</t>
        </is>
      </c>
      <c r="E58" s="452">
        <f>+'SITUACION COMERCIAL'!AB65</f>
        <v/>
      </c>
      <c r="F58" s="453">
        <f>IF('SITUACION COMERCIAL'!A65="RESERVADO",'SITUACION COMERCIAL'!S65,0)</f>
        <v/>
      </c>
      <c r="G58" s="456" t="inlineStr">
        <is>
          <t>HABITAT</t>
        </is>
      </c>
      <c r="H58" s="456">
        <f>IF(G58="HABITAT",F58*0.025,F58*0.02)</f>
        <v/>
      </c>
      <c r="I58" s="595">
        <f>+H58/F58</f>
        <v/>
      </c>
      <c r="J58" s="483">
        <f>IF('SITUACION COMERCIAL'!A65="RESERVADO",H58/2,0)</f>
        <v/>
      </c>
      <c r="K58" s="456" t="n">
        <v>1674.375</v>
      </c>
      <c r="L58" s="457" t="n">
        <v>1674.375</v>
      </c>
      <c r="M58" s="265" t="n"/>
      <c r="N58" s="458" t="n"/>
      <c r="O58" s="458" t="n"/>
      <c r="P58" s="458" t="n"/>
      <c r="Q58" s="458" t="n"/>
      <c r="R58" s="458" t="n"/>
      <c r="S58" s="458" t="n"/>
      <c r="T58" s="458" t="n"/>
      <c r="U58" s="458">
        <f>SUM(K58:T58)</f>
        <v/>
      </c>
      <c r="V58" s="265">
        <f>+J58-K58-L58-M58-N58-O58-P58-T58-Q58-R58-S58</f>
        <v/>
      </c>
      <c r="W58" s="477">
        <f>+H58-U58</f>
        <v/>
      </c>
      <c r="X58" s="459" t="inlineStr">
        <is>
          <t>MANUEL LOPEZ LEON</t>
        </is>
      </c>
      <c r="Y58" s="460" t="n"/>
    </row>
    <row r="59" ht="18" customHeight="1">
      <c r="A59" s="193">
        <f>+A58+1</f>
        <v/>
      </c>
      <c r="B59" s="59" t="n">
        <v>3</v>
      </c>
      <c r="C59" s="194" t="n">
        <v>1</v>
      </c>
      <c r="D59" s="60" t="inlineStr">
        <is>
          <t>A</t>
        </is>
      </c>
      <c r="E59" s="452">
        <f>+'SITUACION COMERCIAL'!AB66</f>
        <v/>
      </c>
      <c r="F59" s="453">
        <f>IF('SITUACION COMERCIAL'!A66="RESERVADO",'SITUACION COMERCIAL'!S66,0)</f>
        <v/>
      </c>
      <c r="G59" s="456" t="inlineStr">
        <is>
          <t>HABITAT</t>
        </is>
      </c>
      <c r="H59" s="456">
        <f>IF(G59="HABITAT",F59*0.025,F59*0.02)</f>
        <v/>
      </c>
      <c r="I59" s="595">
        <f>+H59/F59</f>
        <v/>
      </c>
      <c r="J59" s="483">
        <f>IF('SITUACION COMERCIAL'!A66="RESERVADO",H59/2,0)</f>
        <v/>
      </c>
      <c r="K59" s="456" t="n">
        <v>1444.375</v>
      </c>
      <c r="L59" s="457" t="n">
        <v>1444.375</v>
      </c>
      <c r="M59" s="265" t="n"/>
      <c r="N59" s="458" t="n"/>
      <c r="O59" s="458" t="n"/>
      <c r="P59" s="458" t="n"/>
      <c r="Q59" s="458" t="n"/>
      <c r="R59" s="458" t="n"/>
      <c r="S59" s="458" t="n"/>
      <c r="T59" s="458" t="n"/>
      <c r="U59" s="458">
        <f>SUM(K59:T59)</f>
        <v/>
      </c>
      <c r="V59" s="265">
        <f>+J59-K59-L59-M59-N59-O59-P59-T59-Q59-R59-S59</f>
        <v/>
      </c>
      <c r="W59" s="477">
        <f>+H59-U59</f>
        <v/>
      </c>
      <c r="X59" s="459" t="inlineStr">
        <is>
          <t>ESPERANZA FERMOSELLE INFANTE</t>
        </is>
      </c>
      <c r="Y59" s="460" t="n"/>
    </row>
    <row r="60" ht="18" customHeight="1">
      <c r="A60" s="34">
        <f>+A59+1</f>
        <v/>
      </c>
      <c r="B60" s="35" t="n">
        <v>3</v>
      </c>
      <c r="C60" s="186" t="n">
        <v>1</v>
      </c>
      <c r="D60" s="100" t="inlineStr">
        <is>
          <t>B</t>
        </is>
      </c>
      <c r="E60" s="452">
        <f>+'SITUACION COMERCIAL'!AB67</f>
        <v/>
      </c>
      <c r="F60" s="453">
        <f>IF('SITUACION COMERCIAL'!A67="RESERVADO",'SITUACION COMERCIAL'!S67,0)</f>
        <v/>
      </c>
      <c r="G60" s="456" t="inlineStr">
        <is>
          <t>HABITAT</t>
        </is>
      </c>
      <c r="H60" s="456">
        <f>IF(G60="HABITAT",F60*0.025,F60*0.02)</f>
        <v/>
      </c>
      <c r="I60" s="595">
        <f>+H60/F60</f>
        <v/>
      </c>
      <c r="J60" s="483">
        <f>IF('SITUACION COMERCIAL'!A67="RESERVADO",H60/2,0)</f>
        <v/>
      </c>
      <c r="K60" s="456" t="n">
        <v>0</v>
      </c>
      <c r="L60" s="457" t="n">
        <v>3805</v>
      </c>
      <c r="M60" s="265" t="n"/>
      <c r="N60" s="458" t="n"/>
      <c r="O60" s="458" t="n"/>
      <c r="P60" s="458" t="n"/>
      <c r="Q60" s="458" t="n"/>
      <c r="R60" s="458" t="n"/>
      <c r="S60" s="458" t="n"/>
      <c r="T60" s="458" t="n"/>
      <c r="U60" s="458">
        <f>SUM(K60:T60)</f>
        <v/>
      </c>
      <c r="V60" s="265">
        <f>+J60-K60-L60-M60-N60-O60-P60-T60-Q60-R60-S60</f>
        <v/>
      </c>
      <c r="W60" s="477">
        <f>+H60-U60</f>
        <v/>
      </c>
      <c r="X60" s="459" t="inlineStr">
        <is>
          <t>MIGUEL SANCHEZ SANCHEZ</t>
        </is>
      </c>
      <c r="Y60" s="460" t="n"/>
    </row>
    <row r="61" ht="18" customHeight="1">
      <c r="A61" s="34">
        <f>+A60+1</f>
        <v/>
      </c>
      <c r="B61" s="35" t="n">
        <v>3</v>
      </c>
      <c r="C61" s="186" t="n">
        <v>1</v>
      </c>
      <c r="D61" s="100" t="inlineStr">
        <is>
          <t>C</t>
        </is>
      </c>
      <c r="E61" s="452">
        <f>+'SITUACION COMERCIAL'!AB68</f>
        <v/>
      </c>
      <c r="F61" s="453">
        <f>IF('SITUACION COMERCIAL'!A68="RESERVADO",'SITUACION COMERCIAL'!S68,0)</f>
        <v/>
      </c>
      <c r="G61" s="456" t="inlineStr">
        <is>
          <t>HABITAT</t>
        </is>
      </c>
      <c r="H61" s="456">
        <f>IF(G61="HABITAT",F61*0.025,F61*0.02)</f>
        <v/>
      </c>
      <c r="I61" s="595">
        <f>+H61/F61</f>
        <v/>
      </c>
      <c r="J61" s="483">
        <f>IF('SITUACION COMERCIAL'!A68="RESERVADO",H61/2,0)</f>
        <v/>
      </c>
      <c r="K61" s="456" t="n"/>
      <c r="L61" s="457" t="n"/>
      <c r="M61" s="265" t="n"/>
      <c r="N61" s="458" t="n"/>
      <c r="O61" s="458" t="n"/>
      <c r="P61" s="458" t="n">
        <v>3912.5</v>
      </c>
      <c r="Q61" s="458" t="n"/>
      <c r="R61" s="458" t="n"/>
      <c r="S61" s="458" t="n"/>
      <c r="T61" s="458" t="n"/>
      <c r="U61" s="458">
        <f>SUM(K61:T61)</f>
        <v/>
      </c>
      <c r="V61" s="265">
        <f>+J61-K61-L61-M61-N61-O61-P61-T61-Q61-R61-S61</f>
        <v/>
      </c>
      <c r="W61" s="477">
        <f>+H61-U61</f>
        <v/>
      </c>
      <c r="X61" s="459" t="n"/>
      <c r="Y61" s="460" t="n"/>
    </row>
    <row r="62" ht="18" customHeight="1" thickBot="1">
      <c r="A62" s="34">
        <f>+A61+1</f>
        <v/>
      </c>
      <c r="B62" s="81" t="n">
        <v>3</v>
      </c>
      <c r="C62" s="191" t="n">
        <v>1</v>
      </c>
      <c r="D62" s="82" t="inlineStr">
        <is>
          <t>D</t>
        </is>
      </c>
      <c r="E62" s="452">
        <f>+'SITUACION COMERCIAL'!AB69</f>
        <v/>
      </c>
      <c r="F62" s="453">
        <f>IF('SITUACION COMERCIAL'!A69="RESERVADO",'SITUACION COMERCIAL'!S69,0)</f>
        <v/>
      </c>
      <c r="G62" s="456" t="inlineStr">
        <is>
          <t>HABITAT</t>
        </is>
      </c>
      <c r="H62" s="456">
        <f>IF(G62="HABITAT",F62*0.025,F62*0.02)</f>
        <v/>
      </c>
      <c r="I62" s="595">
        <f>+H62/F62</f>
        <v/>
      </c>
      <c r="J62" s="483">
        <f>IF('SITUACION COMERCIAL'!A69="RESERVADO",H62/2,0)</f>
        <v/>
      </c>
      <c r="K62" s="456" t="n"/>
      <c r="L62" s="457" t="n"/>
      <c r="M62" s="265" t="n"/>
      <c r="N62" s="458" t="n"/>
      <c r="O62" s="458" t="n"/>
      <c r="P62" s="458" t="n">
        <v>2993.75</v>
      </c>
      <c r="Q62" s="458" t="n"/>
      <c r="R62" s="458" t="n"/>
      <c r="S62" s="458" t="n"/>
      <c r="T62" s="458" t="n"/>
      <c r="U62" s="458">
        <f>SUM(K62:T62)</f>
        <v/>
      </c>
      <c r="V62" s="265">
        <f>+J62-K62-L62-M62-N62-O62-P62-T62-Q62-R62-S62</f>
        <v/>
      </c>
      <c r="W62" s="477">
        <f>+H62-U62</f>
        <v/>
      </c>
      <c r="X62" s="459" t="n"/>
      <c r="Y62" s="460" t="n"/>
    </row>
    <row r="63" ht="18" customHeight="1">
      <c r="A63" s="34">
        <f>+A62+1</f>
        <v/>
      </c>
      <c r="B63" s="59" t="n">
        <v>3</v>
      </c>
      <c r="C63" s="194" t="n">
        <v>2</v>
      </c>
      <c r="D63" s="60" t="inlineStr">
        <is>
          <t>A</t>
        </is>
      </c>
      <c r="E63" s="452">
        <f>+'SITUACION COMERCIAL'!AB70</f>
        <v/>
      </c>
      <c r="F63" s="453">
        <f>IF('SITUACION COMERCIAL'!A70="RESERVADO",'SITUACION COMERCIAL'!S70,0)</f>
        <v/>
      </c>
      <c r="G63" s="456" t="inlineStr">
        <is>
          <t>HABITAT</t>
        </is>
      </c>
      <c r="H63" s="456">
        <f>IF(G63="HABITAT",F63*0.025,F63*0.02)</f>
        <v/>
      </c>
      <c r="I63" s="595">
        <f>+H63/F63</f>
        <v/>
      </c>
      <c r="J63" s="483">
        <f>IF('SITUACION COMERCIAL'!A70="RESERVADO",H63/2,0)</f>
        <v/>
      </c>
      <c r="K63" s="464" t="n"/>
      <c r="L63" s="465" t="n"/>
      <c r="M63" s="466" t="n"/>
      <c r="N63" s="458" t="n"/>
      <c r="O63" s="458" t="n"/>
      <c r="P63" s="458" t="n"/>
      <c r="Q63" s="458" t="n">
        <v>3275</v>
      </c>
      <c r="R63" s="458" t="n"/>
      <c r="S63" s="458" t="n"/>
      <c r="T63" s="458" t="n"/>
      <c r="U63" s="458">
        <f>SUM(K63:T63)-K63</f>
        <v/>
      </c>
      <c r="V63" s="265">
        <f>+J63-K63-L63-M63-N63-O63-P63-T63-Q63-R63-S63</f>
        <v/>
      </c>
      <c r="W63" s="477">
        <f>+H63-U63</f>
        <v/>
      </c>
      <c r="X63" s="467" t="n"/>
      <c r="Y63" s="468" t="n"/>
    </row>
    <row r="64" ht="18" customHeight="1">
      <c r="A64" s="34">
        <f>+A63+1</f>
        <v/>
      </c>
      <c r="B64" s="35" t="n">
        <v>3</v>
      </c>
      <c r="C64" s="186" t="n">
        <v>2</v>
      </c>
      <c r="D64" s="100" t="inlineStr">
        <is>
          <t>B</t>
        </is>
      </c>
      <c r="E64" s="452">
        <f>+'SITUACION COMERCIAL'!AB71</f>
        <v/>
      </c>
      <c r="F64" s="453">
        <f>IF('SITUACION COMERCIAL'!A71="RESERVADO",'SITUACION COMERCIAL'!S71,0)</f>
        <v/>
      </c>
      <c r="G64" s="456" t="inlineStr">
        <is>
          <t>HABITAT</t>
        </is>
      </c>
      <c r="H64" s="456">
        <f>IF(G64="HABITAT",F64*0.025,F64*0.02)</f>
        <v/>
      </c>
      <c r="I64" s="595">
        <f>+H64/F64</f>
        <v/>
      </c>
      <c r="J64" s="483">
        <f>IF('SITUACION COMERCIAL'!A71="RESERVADO",H64/2,0)</f>
        <v/>
      </c>
      <c r="K64" s="456" t="n">
        <v>1791.25</v>
      </c>
      <c r="L64" s="457" t="n">
        <v>1791.25</v>
      </c>
      <c r="M64" s="265" t="n"/>
      <c r="N64" s="458" t="n"/>
      <c r="O64" s="458" t="n"/>
      <c r="P64" s="458" t="n"/>
      <c r="Q64" s="458" t="n"/>
      <c r="R64" s="458" t="n"/>
      <c r="S64" s="458" t="n"/>
      <c r="T64" s="458" t="n"/>
      <c r="U64" s="458">
        <f>SUM(K64:T64)</f>
        <v/>
      </c>
      <c r="V64" s="265">
        <f>+J64-K64-L64-M64-N64-O64-P64-T64-Q64-R64-S64</f>
        <v/>
      </c>
      <c r="W64" s="477">
        <f>+H64-U64</f>
        <v/>
      </c>
      <c r="X64" s="459" t="inlineStr">
        <is>
          <t>JOHAN MAURICIO QUINTERO PLAZA</t>
        </is>
      </c>
      <c r="Y64" s="460" t="n"/>
    </row>
    <row r="65" ht="18" customHeight="1">
      <c r="A65" s="34">
        <f>+A64+1</f>
        <v/>
      </c>
      <c r="B65" s="35" t="n">
        <v>3</v>
      </c>
      <c r="C65" s="186" t="n">
        <v>2</v>
      </c>
      <c r="D65" s="100" t="inlineStr">
        <is>
          <t>C</t>
        </is>
      </c>
      <c r="E65" s="452">
        <f>+'SITUACION COMERCIAL'!AB72</f>
        <v/>
      </c>
      <c r="F65" s="453">
        <f>IF('SITUACION COMERCIAL'!A72="RESERVADO",'SITUACION COMERCIAL'!S72,0)</f>
        <v/>
      </c>
      <c r="G65" s="456" t="inlineStr">
        <is>
          <t>HABITAT</t>
        </is>
      </c>
      <c r="H65" s="456">
        <f>IF(G65="HABITAT",F65*0.025,F65*0.02)</f>
        <v/>
      </c>
      <c r="I65" s="595">
        <f>+H65/F65</f>
        <v/>
      </c>
      <c r="J65" s="483">
        <f>IF('SITUACION COMERCIAL'!A72="RESERVADO",H65/2,0)</f>
        <v/>
      </c>
      <c r="K65" s="456" t="n"/>
      <c r="L65" s="457" t="n"/>
      <c r="M65" s="265" t="n">
        <v>3687.5</v>
      </c>
      <c r="N65" s="458" t="n"/>
      <c r="O65" s="458" t="n"/>
      <c r="P65" s="458" t="n"/>
      <c r="Q65" s="458" t="n"/>
      <c r="R65" s="458" t="n"/>
      <c r="S65" s="458" t="n"/>
      <c r="T65" s="458" t="n"/>
      <c r="U65" s="458">
        <f>SUM(K65:T65)</f>
        <v/>
      </c>
      <c r="V65" s="265">
        <f>+J65-K65-L65-M65-N65-O65-P65-T65-Q65-R65-S65</f>
        <v/>
      </c>
      <c r="W65" s="477">
        <f>+H65-U65</f>
        <v/>
      </c>
      <c r="X65" s="459" t="inlineStr">
        <is>
          <t>ALVARO JOSE NAVARRETE POZUECO</t>
        </is>
      </c>
      <c r="Y65" s="460" t="n"/>
    </row>
    <row r="66" ht="18" customHeight="1" thickBot="1">
      <c r="A66" s="34">
        <f>+A65+1</f>
        <v/>
      </c>
      <c r="B66" s="81" t="n">
        <v>3</v>
      </c>
      <c r="C66" s="191" t="n">
        <v>2</v>
      </c>
      <c r="D66" s="82" t="inlineStr">
        <is>
          <t>D</t>
        </is>
      </c>
      <c r="E66" s="452">
        <f>+'SITUACION COMERCIAL'!AB73</f>
        <v/>
      </c>
      <c r="F66" s="453">
        <f>IF('SITUACION COMERCIAL'!A73="RESERVADO",'SITUACION COMERCIAL'!S73,0)</f>
        <v/>
      </c>
      <c r="G66" s="456" t="inlineStr">
        <is>
          <t>HABITAT</t>
        </is>
      </c>
      <c r="H66" s="462">
        <f>IF(G66="HABITAT",F66*0.025,F66*0.02)</f>
        <v/>
      </c>
      <c r="I66" s="595">
        <f>+H66/F66</f>
        <v/>
      </c>
      <c r="J66" s="483">
        <f>IF('SITUACION COMERCIAL'!A73="RESERVADO",H66/2,0)</f>
        <v/>
      </c>
      <c r="K66" s="456" t="n"/>
      <c r="L66" s="457" t="n"/>
      <c r="M66" s="265" t="n"/>
      <c r="N66" s="458" t="n"/>
      <c r="O66" s="458" t="n"/>
      <c r="P66" s="458" t="n"/>
      <c r="Q66" s="458" t="n">
        <v>3225</v>
      </c>
      <c r="R66" s="458" t="n"/>
      <c r="S66" s="458" t="n"/>
      <c r="T66" s="458" t="n"/>
      <c r="U66" s="458">
        <f>SUM(K66:T66)</f>
        <v/>
      </c>
      <c r="V66" s="265">
        <f>+J66-K66-L66-M66-N66-O66-P66-T66-Q66-R66-S66</f>
        <v/>
      </c>
      <c r="W66" s="477">
        <f>+H66-U66</f>
        <v/>
      </c>
      <c r="X66" s="459" t="n"/>
      <c r="Y66" s="460" t="n"/>
    </row>
    <row r="67" ht="18" customHeight="1">
      <c r="A67" s="34">
        <f>+A66+1</f>
        <v/>
      </c>
      <c r="B67" s="59" t="n">
        <v>3</v>
      </c>
      <c r="C67" s="194" t="n">
        <v>3</v>
      </c>
      <c r="D67" s="60" t="inlineStr">
        <is>
          <t>A</t>
        </is>
      </c>
      <c r="E67" s="452">
        <f>+'SITUACION COMERCIAL'!AB74</f>
        <v/>
      </c>
      <c r="F67" s="453">
        <f>IF('SITUACION COMERCIAL'!A74="RESERVADO",'SITUACION COMERCIAL'!S74,0)</f>
        <v/>
      </c>
      <c r="G67" s="472" t="inlineStr">
        <is>
          <t>EDETICA</t>
        </is>
      </c>
      <c r="H67" s="456">
        <f>IF(G67="HABITAT",F67*0.025,F67*0.02)</f>
        <v/>
      </c>
      <c r="I67" s="597">
        <f>+H67/F67</f>
        <v/>
      </c>
      <c r="J67" s="483">
        <f>IF('SITUACION COMERCIAL'!A74="RESERVADO",H67/2,0)</f>
        <v/>
      </c>
      <c r="K67" s="456" t="n">
        <v>1258.5</v>
      </c>
      <c r="L67" s="457" t="n">
        <v>1258.5</v>
      </c>
      <c r="M67" s="265" t="n"/>
      <c r="N67" s="458" t="n"/>
      <c r="O67" s="458" t="n"/>
      <c r="P67" s="458" t="n"/>
      <c r="Q67" s="458" t="n"/>
      <c r="R67" s="458" t="n"/>
      <c r="S67" s="458" t="n"/>
      <c r="T67" s="458" t="n"/>
      <c r="U67" s="458">
        <f>SUM(K67:T67)</f>
        <v/>
      </c>
      <c r="V67" s="265">
        <f>+J67-K67-L67-M67-N67-O67-P67-T67-Q67-R67-S67</f>
        <v/>
      </c>
      <c r="W67" s="477">
        <f>+H67-U67</f>
        <v/>
      </c>
      <c r="X67" s="459" t="inlineStr">
        <is>
          <t>ALBERTO FERNANDEZ PARRAL</t>
        </is>
      </c>
      <c r="Y67" s="460" t="n"/>
    </row>
    <row r="68" ht="18" customHeight="1">
      <c r="A68" s="34">
        <f>+A67+1</f>
        <v/>
      </c>
      <c r="B68" s="35" t="n">
        <v>3</v>
      </c>
      <c r="C68" s="186" t="n">
        <v>3</v>
      </c>
      <c r="D68" s="100" t="inlineStr">
        <is>
          <t>B</t>
        </is>
      </c>
      <c r="E68" s="452">
        <f>+'SITUACION COMERCIAL'!AB75</f>
        <v/>
      </c>
      <c r="F68" s="453">
        <f>IF('SITUACION COMERCIAL'!A75="RESERVADO",'SITUACION COMERCIAL'!S75,0)</f>
        <v/>
      </c>
      <c r="G68" s="456" t="inlineStr">
        <is>
          <t>HABITAT</t>
        </is>
      </c>
      <c r="H68" s="456">
        <f>IF(G68="HABITAT",F68*0.025,F68*0.02)</f>
        <v/>
      </c>
      <c r="I68" s="595">
        <f>+H68/F68</f>
        <v/>
      </c>
      <c r="J68" s="483">
        <f>IF('SITUACION COMERCIAL'!A75="RESERVADO",H68/2,0)</f>
        <v/>
      </c>
      <c r="K68" s="456" t="n">
        <v>1721.25</v>
      </c>
      <c r="L68" s="457" t="n">
        <v>2071.25</v>
      </c>
      <c r="M68" s="265" t="n"/>
      <c r="N68" s="458" t="n"/>
      <c r="O68" s="458" t="n"/>
      <c r="P68" s="458" t="n"/>
      <c r="Q68" s="458" t="n"/>
      <c r="R68" s="458" t="n"/>
      <c r="S68" s="458" t="n"/>
      <c r="T68" s="458" t="n"/>
      <c r="U68" s="458">
        <f>SUM(K68:T68)</f>
        <v/>
      </c>
      <c r="V68" s="265">
        <f>+J68-K68-L68-M68-N68-O68-P68-T68-Q68-R68-S68</f>
        <v/>
      </c>
      <c r="W68" s="477">
        <f>+H68-U68</f>
        <v/>
      </c>
      <c r="X68" s="459" t="inlineStr">
        <is>
          <t>MARIA GARRIDO ALVAREZ</t>
        </is>
      </c>
      <c r="Y68" s="460" t="n"/>
    </row>
    <row r="69" ht="18" customHeight="1">
      <c r="A69" s="34">
        <f>+A68+1</f>
        <v/>
      </c>
      <c r="B69" s="35" t="n">
        <v>3</v>
      </c>
      <c r="C69" s="186" t="n">
        <v>3</v>
      </c>
      <c r="D69" s="100" t="inlineStr">
        <is>
          <t>C</t>
        </is>
      </c>
      <c r="E69" s="452">
        <f>+'SITUACION COMERCIAL'!AB76</f>
        <v/>
      </c>
      <c r="F69" s="453">
        <f>IF('SITUACION COMERCIAL'!A76="RESERVADO",'SITUACION COMERCIAL'!S76,0)</f>
        <v/>
      </c>
      <c r="G69" s="456" t="inlineStr">
        <is>
          <t>HABITAT</t>
        </is>
      </c>
      <c r="H69" s="456">
        <f>IF(G69="HABITAT",F69*0.025,F69*0.02)</f>
        <v/>
      </c>
      <c r="I69" s="595">
        <f>+H69/F69</f>
        <v/>
      </c>
      <c r="J69" s="483">
        <f>IF('SITUACION COMERCIAL'!A76="RESERVADO",H69/2,0)</f>
        <v/>
      </c>
      <c r="K69" s="456" t="n">
        <v>1721.25</v>
      </c>
      <c r="L69" s="457" t="n">
        <v>1721.25</v>
      </c>
      <c r="M69" s="265" t="n"/>
      <c r="N69" s="458" t="n"/>
      <c r="O69" s="458" t="n"/>
      <c r="P69" s="458" t="n"/>
      <c r="Q69" s="458" t="n"/>
      <c r="R69" s="458" t="n"/>
      <c r="S69" s="458" t="n"/>
      <c r="T69" s="458" t="n"/>
      <c r="U69" s="458">
        <f>SUM(K69:T69)</f>
        <v/>
      </c>
      <c r="V69" s="265">
        <f>+J69-K69-L69-M69-N69-O69-P69-T69-Q69-R69-S69</f>
        <v/>
      </c>
      <c r="W69" s="477">
        <f>+H69-U69</f>
        <v/>
      </c>
      <c r="X69" s="459" t="inlineStr">
        <is>
          <t>AURELIO COLLADO BARRAGAN</t>
        </is>
      </c>
      <c r="Y69" s="460" t="n"/>
    </row>
    <row r="70" ht="18" customHeight="1" thickBot="1">
      <c r="A70" s="200">
        <f>+A69+1</f>
        <v/>
      </c>
      <c r="B70" s="201" t="n">
        <v>3</v>
      </c>
      <c r="C70" s="202" t="n">
        <v>3</v>
      </c>
      <c r="D70" s="203" t="inlineStr">
        <is>
          <t>D</t>
        </is>
      </c>
      <c r="E70" s="452">
        <f>+'SITUACION COMERCIAL'!AB77</f>
        <v/>
      </c>
      <c r="F70" s="453">
        <f>IF('SITUACION COMERCIAL'!A77="RESERVADO",'SITUACION COMERCIAL'!S77,0)</f>
        <v/>
      </c>
      <c r="G70" s="456" t="inlineStr">
        <is>
          <t>HABITAT</t>
        </is>
      </c>
      <c r="H70" s="456">
        <f>IF(G70="HABITAT",F70*0.025,F70*0.02)</f>
        <v/>
      </c>
      <c r="I70" s="595">
        <f>+H70/F70</f>
        <v/>
      </c>
      <c r="J70" s="483">
        <f>IF('SITUACION COMERCIAL'!A77="RESERVADO",H70/2,0)</f>
        <v/>
      </c>
      <c r="K70" s="33" t="n"/>
      <c r="L70" s="457" t="n"/>
      <c r="M70" s="265" t="n">
        <v>3043.75</v>
      </c>
      <c r="N70" s="458" t="n"/>
      <c r="O70" s="458" t="n"/>
      <c r="P70" s="458" t="n"/>
      <c r="Q70" s="458" t="n"/>
      <c r="R70" s="458" t="n"/>
      <c r="S70" s="458" t="n"/>
      <c r="T70" s="458" t="n"/>
      <c r="U70" s="458">
        <f>SUM(K70:T70)</f>
        <v/>
      </c>
      <c r="V70" s="265">
        <f>+J70-K70-L70-M70-N70-O70-P70-T70-Q70-R70-S70</f>
        <v/>
      </c>
      <c r="W70" s="477">
        <f>+H70-U70</f>
        <v/>
      </c>
      <c r="X70" s="459" t="inlineStr">
        <is>
          <t>EMILIO BENITEZ ACEDO</t>
        </is>
      </c>
      <c r="Y70" s="460" t="n"/>
    </row>
    <row r="71">
      <c r="E71" s="445" t="n"/>
      <c r="F71" s="2">
        <f>SUM(F5:F70)</f>
        <v/>
      </c>
      <c r="H71" s="1">
        <f>SUM(H5:H70)</f>
        <v/>
      </c>
      <c r="I71" s="591" t="n"/>
      <c r="J71" s="480">
        <f>SUM(J5:J70)*2</f>
        <v/>
      </c>
      <c r="K71" s="479">
        <f>SUM(K5:K70)</f>
        <v/>
      </c>
      <c r="L71" s="479">
        <f>SUM(L5:L70)</f>
        <v/>
      </c>
      <c r="M71" s="485">
        <f>SUM(M5:M70)</f>
        <v/>
      </c>
      <c r="N71" s="486">
        <f>SUM(N5:N70)</f>
        <v/>
      </c>
      <c r="O71" s="486">
        <f>SUM(O5:O70)</f>
        <v/>
      </c>
      <c r="P71" s="486">
        <f>SUM(P61:P70)</f>
        <v/>
      </c>
      <c r="Q71" s="486">
        <f>SUM(Q5:Q70)</f>
        <v/>
      </c>
      <c r="R71" s="486">
        <f>SUM(R5:R70)</f>
        <v/>
      </c>
      <c r="S71" s="486" t="n"/>
      <c r="T71" s="486" t="n"/>
      <c r="U71" s="486">
        <f>SUM(U5:U70)</f>
        <v/>
      </c>
      <c r="V71" s="217">
        <f>SUM(V5:V70)</f>
        <v/>
      </c>
      <c r="W71" s="217">
        <f>SUM(W5:W70)</f>
        <v/>
      </c>
      <c r="X71" s="217" t="n"/>
      <c r="Y71" s="459" t="n"/>
    </row>
    <row r="72">
      <c r="A72" s="355" t="inlineStr">
        <is>
          <t>Facturado por enuncias</t>
        </is>
      </c>
      <c r="E72" s="445" t="n"/>
      <c r="I72" s="591" t="n"/>
      <c r="J72" s="480" t="n"/>
      <c r="K72" s="476" t="n"/>
      <c r="M72" s="5" t="n"/>
      <c r="N72" s="492">
        <f>+L71+M71+N71</f>
        <v/>
      </c>
      <c r="O72" s="447" t="n"/>
      <c r="P72" s="492">
        <f>SUM(K71:P71)</f>
        <v/>
      </c>
      <c r="Q72" s="447" t="n"/>
      <c r="R72" s="492">
        <f>+Q71+R71</f>
        <v/>
      </c>
      <c r="S72" s="447" t="n"/>
      <c r="T72" s="447" t="n"/>
      <c r="U72" s="478" t="n"/>
      <c r="V72" s="493">
        <f>+Q71+R71+V71</f>
        <v/>
      </c>
      <c r="W72" s="5" t="n"/>
      <c r="X72" s="5" t="n"/>
      <c r="Y72" s="4" t="n"/>
    </row>
    <row r="73">
      <c r="A73" s="239" t="n">
        <v>9</v>
      </c>
      <c r="B73" s="35" t="n">
        <v>1</v>
      </c>
      <c r="C73" s="36" t="n">
        <v>1</v>
      </c>
      <c r="D73" s="36" t="inlineStr">
        <is>
          <t>D</t>
        </is>
      </c>
      <c r="E73" s="452">
        <f>+'SITUACION COMERCIAL'!AB84</f>
        <v/>
      </c>
      <c r="F73" s="132">
        <f>+'SITUACION COMERCIAL'!S84</f>
        <v/>
      </c>
      <c r="G73" s="456" t="inlineStr">
        <is>
          <t>HABITAT</t>
        </is>
      </c>
      <c r="H73" s="462">
        <f>IF(G73="HABITAT",F73*0.025,F73*0.02)</f>
        <v/>
      </c>
      <c r="I73" s="595">
        <f>+H73/F73</f>
        <v/>
      </c>
      <c r="J73" s="484" t="n"/>
      <c r="K73" s="464" t="n">
        <v>1131.25</v>
      </c>
    </row>
    <row r="74">
      <c r="A74" s="239" t="n">
        <v>15</v>
      </c>
      <c r="B74" s="35" t="n">
        <v>1</v>
      </c>
      <c r="C74" s="36" t="n">
        <v>2</v>
      </c>
      <c r="D74" s="36" t="inlineStr">
        <is>
          <t>D</t>
        </is>
      </c>
      <c r="E74" s="452">
        <f>+'SITUACION COMERCIAL'!AB90</f>
        <v/>
      </c>
      <c r="F74" s="132">
        <f>+'SITUACION COMERCIAL'!S90</f>
        <v/>
      </c>
      <c r="G74" s="456" t="inlineStr">
        <is>
          <t>HABITAT</t>
        </is>
      </c>
      <c r="H74" s="456">
        <f>IF(G74="HABITAT",F74*0.025,F74*0.02)</f>
        <v/>
      </c>
      <c r="I74" s="595">
        <f>+H74/F74</f>
        <v/>
      </c>
      <c r="J74" s="484" t="n"/>
      <c r="K74" s="464" t="n">
        <v>1143.75</v>
      </c>
    </row>
    <row r="75" ht="15.75" customHeight="1" thickBot="1">
      <c r="A75" s="241" t="n">
        <v>17</v>
      </c>
      <c r="B75" s="81" t="n">
        <v>1</v>
      </c>
      <c r="C75" s="82" t="n">
        <v>2</v>
      </c>
      <c r="D75" s="53" t="inlineStr">
        <is>
          <t>F</t>
        </is>
      </c>
      <c r="E75" s="452">
        <f>+'SITUACION COMERCIAL'!AB92</f>
        <v/>
      </c>
      <c r="F75" s="142">
        <f>+'SITUACION COMERCIAL'!S92</f>
        <v/>
      </c>
      <c r="G75" s="456" t="inlineStr">
        <is>
          <t>HABITAT</t>
        </is>
      </c>
      <c r="H75" s="456">
        <f>IF(G75="HABITAT",F75*0.025,F75*0.02)</f>
        <v/>
      </c>
      <c r="I75" s="595">
        <f>+H75/F75</f>
        <v/>
      </c>
      <c r="J75" s="484" t="n"/>
      <c r="K75" s="464" t="n">
        <v>1143.75</v>
      </c>
    </row>
    <row r="76" ht="15.75" customHeight="1" thickBot="1">
      <c r="A76" s="34" t="n">
        <v>52</v>
      </c>
      <c r="B76" s="35" t="n">
        <v>3</v>
      </c>
      <c r="C76" s="186" t="inlineStr">
        <is>
          <t>BAJA</t>
        </is>
      </c>
      <c r="D76" s="100" t="inlineStr">
        <is>
          <t>B</t>
        </is>
      </c>
      <c r="E76" s="452">
        <f>+'SITUACION COMERCIAL'!AB127</f>
        <v/>
      </c>
      <c r="F76" s="150">
        <f>+'SITUACION COMERCIAL'!S127</f>
        <v/>
      </c>
      <c r="G76" s="456" t="inlineStr">
        <is>
          <t>HABITAT</t>
        </is>
      </c>
      <c r="H76" s="462">
        <f>IF(G76="HABITAT",F76*0.025,F76*0.02)</f>
        <v/>
      </c>
      <c r="I76" s="595">
        <f>+H76/F76</f>
        <v/>
      </c>
      <c r="J76" s="484" t="n"/>
      <c r="K76" s="464" t="n">
        <v>1744.375</v>
      </c>
    </row>
    <row r="77">
      <c r="A77" s="34" t="n">
        <v>59</v>
      </c>
      <c r="B77" s="59" t="n">
        <v>3</v>
      </c>
      <c r="C77" s="194" t="n">
        <v>2</v>
      </c>
      <c r="D77" s="60" t="inlineStr">
        <is>
          <t>A</t>
        </is>
      </c>
      <c r="E77" s="452">
        <f>+'SITUACION COMERCIAL'!AB134</f>
        <v/>
      </c>
      <c r="F77" s="475">
        <f>+'SITUACION COMERCIAL'!S134</f>
        <v/>
      </c>
      <c r="G77" s="456" t="inlineStr">
        <is>
          <t>HABITAT</t>
        </is>
      </c>
      <c r="H77" s="456">
        <f>IF(G77="HABITAT",F77*0.025,F77*0.02)</f>
        <v/>
      </c>
      <c r="I77" s="595">
        <f>+H77/F77</f>
        <v/>
      </c>
      <c r="J77" s="484" t="n"/>
      <c r="K77" s="464" t="n">
        <v>1455.625</v>
      </c>
    </row>
    <row r="78">
      <c r="E78" s="445" t="n"/>
      <c r="H78" s="1">
        <f>SUM(H73:H77)</f>
        <v/>
      </c>
      <c r="I78" s="591" t="n"/>
      <c r="J78" s="480" t="n"/>
      <c r="K78" s="1">
        <f>SUM(K73:K77)</f>
        <v/>
      </c>
      <c r="N78" s="1">
        <f>+L71</f>
        <v/>
      </c>
      <c r="O78" s="494" t="n">
        <v>45413</v>
      </c>
    </row>
    <row r="79">
      <c r="K79" s="479">
        <f>+K71+K78</f>
        <v/>
      </c>
      <c r="N79" s="1">
        <f>+M71</f>
        <v/>
      </c>
      <c r="O79" s="494" t="n">
        <v>45474</v>
      </c>
    </row>
    <row r="80">
      <c r="F80" s="2">
        <f>+F71-'SITUACION COMERCIAL'!#REF!</f>
        <v/>
      </c>
      <c r="G80">
        <f>+F80*0.025</f>
        <v/>
      </c>
      <c r="M80" s="1" t="n"/>
      <c r="N80" s="1">
        <f>+N71</f>
        <v/>
      </c>
      <c r="O80" s="494" t="n">
        <v>45505</v>
      </c>
    </row>
    <row r="81">
      <c r="H81" s="1">
        <f>+H71-G80</f>
        <v/>
      </c>
      <c r="N81" s="1">
        <f>+O71</f>
        <v/>
      </c>
    </row>
    <row r="82">
      <c r="N82" s="1">
        <f>+P71</f>
        <v/>
      </c>
    </row>
  </sheetData>
  <mergeCells count="7">
    <mergeCell ref="G3:G4"/>
    <mergeCell ref="V3:V4"/>
    <mergeCell ref="E3:E4"/>
    <mergeCell ref="F3:F4"/>
    <mergeCell ref="U3:U4"/>
    <mergeCell ref="W3:W4"/>
    <mergeCell ref="H3:I3"/>
  </mergeCells>
  <conditionalFormatting sqref="V1:V1048576">
    <cfRule type="cellIs" priority="1" operator="greaterThan" dxfId="0">
      <formula>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Prado</dc:creator>
  <dc:language>es-ES</dc:language>
  <dcterms:created xsi:type="dcterms:W3CDTF">2022-02-24T09:01:05Z</dcterms:created>
  <dcterms:modified xsi:type="dcterms:W3CDTF">2026-01-30T17:14:49Z</dcterms:modified>
  <cp:lastModifiedBy>José Gálvez Fernández</cp:lastModifiedBy>
  <cp:revision>1</cp:revision>
  <cp:lastPrinted>2024-03-05T15:01:00Z</cp:lastPrinted>
</cp:coreProperties>
</file>